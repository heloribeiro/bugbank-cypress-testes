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QA\Cypress - Udemy\PROJETO BUGBANK\"/>
    </mc:Choice>
  </mc:AlternateContent>
  <xr:revisionPtr revIDLastSave="0" documentId="13_ncr:1_{36E5E182-3576-4BCE-ADA6-1019CBD674F6}" xr6:coauthVersionLast="47" xr6:coauthVersionMax="47" xr10:uidLastSave="{00000000-0000-0000-0000-000000000000}"/>
  <bookViews>
    <workbookView xWindow="-120" yWindow="-120" windowWidth="20730" windowHeight="11160" tabRatio="500" firstSheet="1" activeTab="5" xr2:uid="{00000000-000D-0000-FFFF-FFFF00000000}"/>
  </bookViews>
  <sheets>
    <sheet name="Legenda" sheetId="1" r:id="rId1"/>
    <sheet name="Resumo" sheetId="2" r:id="rId2"/>
    <sheet name="Cenarios" sheetId="3" r:id="rId3"/>
    <sheet name="Casos de Teste" sheetId="4" r:id="rId4"/>
    <sheet name="Evidencias" sheetId="5" r:id="rId5"/>
    <sheet name="Bugs" sheetId="6" r:id="rId6"/>
  </sheets>
  <definedNames>
    <definedName name="_xlnm._FilterDatabase" localSheetId="5" hidden="1">Bugs!$A$4:$R$202</definedName>
    <definedName name="_xlnm._FilterDatabase" localSheetId="3" hidden="1">'Casos de Teste'!$A$4:$R$205</definedName>
    <definedName name="_xlnm._FilterDatabase" localSheetId="4" hidden="1">Evidencias!$A$4:$L$203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4" l="1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7" i="4"/>
  <c r="C5" i="4"/>
  <c r="K54" i="3"/>
  <c r="J54" i="3"/>
  <c r="I54" i="3"/>
  <c r="H54" i="3"/>
  <c r="K53" i="3"/>
  <c r="J53" i="3"/>
  <c r="I53" i="3"/>
  <c r="H53" i="3"/>
  <c r="K52" i="3"/>
  <c r="J52" i="3"/>
  <c r="I52" i="3"/>
  <c r="H52" i="3"/>
  <c r="K51" i="3"/>
  <c r="J51" i="3"/>
  <c r="I51" i="3"/>
  <c r="H51" i="3"/>
  <c r="K50" i="3"/>
  <c r="J50" i="3"/>
  <c r="I50" i="3"/>
  <c r="H50" i="3"/>
  <c r="K49" i="3"/>
  <c r="J49" i="3"/>
  <c r="I49" i="3"/>
  <c r="H49" i="3"/>
  <c r="K48" i="3"/>
  <c r="J48" i="3"/>
  <c r="I48" i="3"/>
  <c r="H48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K43" i="3"/>
  <c r="J43" i="3"/>
  <c r="I43" i="3"/>
  <c r="H43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K38" i="3"/>
  <c r="J38" i="3"/>
  <c r="I38" i="3"/>
  <c r="H38" i="3"/>
  <c r="K37" i="3"/>
  <c r="J37" i="3"/>
  <c r="I37" i="3"/>
  <c r="H37" i="3"/>
  <c r="K36" i="3"/>
  <c r="J36" i="3"/>
  <c r="I36" i="3"/>
  <c r="H36" i="3"/>
  <c r="K35" i="3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J5" i="3"/>
  <c r="I5" i="3"/>
  <c r="H5" i="3"/>
  <c r="B38" i="2"/>
  <c r="B37" i="2"/>
  <c r="B36" i="2"/>
  <c r="B35" i="2"/>
  <c r="B34" i="2"/>
  <c r="C30" i="2"/>
  <c r="B30" i="2"/>
  <c r="C29" i="2"/>
  <c r="B29" i="2"/>
  <c r="C28" i="2"/>
  <c r="B28" i="2"/>
  <c r="C27" i="2"/>
  <c r="B27" i="2"/>
  <c r="D23" i="2"/>
  <c r="C23" i="2"/>
  <c r="B23" i="2"/>
  <c r="D22" i="2"/>
  <c r="C22" i="2"/>
  <c r="B22" i="2"/>
  <c r="B16" i="2"/>
  <c r="B15" i="2"/>
  <c r="B14" i="2"/>
  <c r="B10" i="2"/>
  <c r="B9" i="2"/>
  <c r="B7" i="2"/>
  <c r="B6" i="2"/>
  <c r="B5" i="2"/>
  <c r="B17" i="2" l="1"/>
  <c r="B18" i="2" s="1"/>
  <c r="K5" i="3"/>
  <c r="B8" i="2"/>
  <c r="C16" i="2" l="1"/>
  <c r="C14" i="2"/>
  <c r="C17" i="2"/>
  <c r="C15" i="2"/>
  <c r="C18" i="2" l="1"/>
</calcChain>
</file>

<file path=xl/sharedStrings.xml><?xml version="1.0" encoding="utf-8"?>
<sst xmlns="http://schemas.openxmlformats.org/spreadsheetml/2006/main" count="321" uniqueCount="192">
  <si>
    <t>PLANEJAMENTO DE TESTES</t>
  </si>
  <si>
    <t>Sistema / Projeto:</t>
  </si>
  <si>
    <t>Responsável:</t>
  </si>
  <si>
    <t>Data:</t>
  </si>
  <si>
    <t>Como usar (siga a ordem das abas)</t>
  </si>
  <si>
    <t>1. Cenarios: cadastre os cenários de teste (ex.: Cadastro). Total de casos, aprovados, reprovados e status são calculados automaticamente.</t>
  </si>
  <si>
    <t>2. Casos de Teste: cadastre os casos de cada cenário (positivos e negativos) escolhendo o ID do cenário na lista. O nome do cenário aparece sozinho.</t>
  </si>
  <si>
    <t>3. Evidencias: a cada execução, registre data, ambiente, resultado e o caminho/link do print, vídeo ou log (Cypress salva em cypress/screenshots e cypress/videos).</t>
  </si>
  <si>
    <t>4. Bugs: se o resultado for Reprovado, abra o bug, vincule ao ID do caso e acompanhe até o fechamento. Informe o ID do bug no caso de teste e na evidência.</t>
  </si>
  <si>
    <t>5. Resumo: painel automático com status dos casos, cobertura de automação e bugs por severidade e status.</t>
  </si>
  <si>
    <t>Convenções</t>
  </si>
  <si>
    <t>Texto azul</t>
  </si>
  <si>
    <t>Campos para você preencher</t>
  </si>
  <si>
    <t>Fundo cinza</t>
  </si>
  <si>
    <t>Células com fórmula (não editar)</t>
  </si>
  <si>
    <t>Fundo amarelo</t>
  </si>
  <si>
    <t>Linha de EXEMPLO – substitua ou apague antes de usar (exemplos entram nas contagens do Resumo)</t>
  </si>
  <si>
    <t>Valores padronizados</t>
  </si>
  <si>
    <t>Tipo do caso</t>
  </si>
  <si>
    <t>Positivo / Negativo</t>
  </si>
  <si>
    <t>Prioridade</t>
  </si>
  <si>
    <t>Alta / Média / Baixa</t>
  </si>
  <si>
    <t>Status do caso</t>
  </si>
  <si>
    <t>Não executado / Aprovado / Reprovado / Bloqueado</t>
  </si>
  <si>
    <t>Severidade do bug</t>
  </si>
  <si>
    <t>Crítica / Alta / Média / Baixa</t>
  </si>
  <si>
    <t>Status do bug</t>
  </si>
  <si>
    <t>Aberto / Em correção / Corrigido / Reaberto / Fechado</t>
  </si>
  <si>
    <t>RESUMO GERAL</t>
  </si>
  <si>
    <t>Painel automático – não é necessário preencher.</t>
  </si>
  <si>
    <t>Visão geral</t>
  </si>
  <si>
    <t>Indicador</t>
  </si>
  <si>
    <t>Valor</t>
  </si>
  <si>
    <t>Cenários cadastrados</t>
  </si>
  <si>
    <t>Casos de teste cadastrados</t>
  </si>
  <si>
    <t>Casos automatizados (Cypress)</t>
  </si>
  <si>
    <t>Cobertura de automação</t>
  </si>
  <si>
    <t>Bugs registrados</t>
  </si>
  <si>
    <t>Bugs em aberto (não fechados)</t>
  </si>
  <si>
    <t>Casos por status</t>
  </si>
  <si>
    <t>Status</t>
  </si>
  <si>
    <t>Quantidade</t>
  </si>
  <si>
    <t>% do total</t>
  </si>
  <si>
    <t>Aprovado</t>
  </si>
  <si>
    <t>Reprovado</t>
  </si>
  <si>
    <t>Bloqueado</t>
  </si>
  <si>
    <t>Não executado</t>
  </si>
  <si>
    <t>Total</t>
  </si>
  <si>
    <t>Casos por tipo</t>
  </si>
  <si>
    <t>Tipo</t>
  </si>
  <si>
    <t>Aprovados</t>
  </si>
  <si>
    <t>Reprovados</t>
  </si>
  <si>
    <t>Positivo</t>
  </si>
  <si>
    <t>Negativo</t>
  </si>
  <si>
    <t>Bugs por severidade</t>
  </si>
  <si>
    <t>Severidade</t>
  </si>
  <si>
    <t>Abertos (não fechados)</t>
  </si>
  <si>
    <t>Crítica</t>
  </si>
  <si>
    <t>Alta</t>
  </si>
  <si>
    <t>Média</t>
  </si>
  <si>
    <t>Baixa</t>
  </si>
  <si>
    <t>Bugs por status</t>
  </si>
  <si>
    <t>Aberto</t>
  </si>
  <si>
    <t>Em correção</t>
  </si>
  <si>
    <t>Corrigido</t>
  </si>
  <si>
    <t>Reaberto</t>
  </si>
  <si>
    <t>Fechado</t>
  </si>
  <si>
    <t>Obs.: as linhas de exemplo (amarelas) nas abas Evidencias e Bugs entram nas contagens até serem apagadas.</t>
  </si>
  <si>
    <t>CENÁRIOS DE TESTE</t>
  </si>
  <si>
    <t>Um cenário agrupa casos de teste de uma mesma funcionalidade. Colunas cinzas são calculadas.</t>
  </si>
  <si>
    <t>ID</t>
  </si>
  <si>
    <t>Cenário</t>
  </si>
  <si>
    <t>Descrição / objetivo</t>
  </si>
  <si>
    <t>Módulo</t>
  </si>
  <si>
    <t>Requisito / História</t>
  </si>
  <si>
    <t>Responsável</t>
  </si>
  <si>
    <t>Total de casos</t>
  </si>
  <si>
    <t>Status do cenário</t>
  </si>
  <si>
    <t>CE-001</t>
  </si>
  <si>
    <t>Cadastro</t>
  </si>
  <si>
    <t>Validar o fluxo de cadastro de usuário, garantindo que dados válidos sejam aceitos e dados inválidos sejam rejeitados com mensagens adequadas.</t>
  </si>
  <si>
    <t>CASOS DE TESTE</t>
  </si>
  <si>
    <t>Escolha o ID do cenário na coluna B. Colunas cinzas são calculadas.</t>
  </si>
  <si>
    <t>ID Cenário</t>
  </si>
  <si>
    <t>Título do caso de teste</t>
  </si>
  <si>
    <t>Pré-condições</t>
  </si>
  <si>
    <t>Passos de execução</t>
  </si>
  <si>
    <t>Dados de entrada</t>
  </si>
  <si>
    <t>Resultado esperado</t>
  </si>
  <si>
    <t>Resultado obtido</t>
  </si>
  <si>
    <t>Automatizado?</t>
  </si>
  <si>
    <t>Arquivo Cypress (.cy.js)</t>
  </si>
  <si>
    <t>Executado por</t>
  </si>
  <si>
    <t>Data execução</t>
  </si>
  <si>
    <t>Nº do bug</t>
  </si>
  <si>
    <t>Observações</t>
  </si>
  <si>
    <t>CT-001</t>
  </si>
  <si>
    <t>Cadastro com dados válidos</t>
  </si>
  <si>
    <t>Usuário ainda não cadastrado.
Tela de cadastro acessível.</t>
  </si>
  <si>
    <t>CT-002</t>
  </si>
  <si>
    <t>Tela de cadastro acessível.</t>
  </si>
  <si>
    <t>O cadastro NÃO é realizado, mensagens de erro claras são exibidas em cada campo inválido e nenhum registro é criado.</t>
  </si>
  <si>
    <t>EVIDÊNCIAS DE TESTES</t>
  </si>
  <si>
    <t>Uma linha por execução de caso. Guarde os arquivos numa pasta (ex.: evidencias/CT-001/) e informe o caminho ou link na coluna K.</t>
  </si>
  <si>
    <t>ID Evidência</t>
  </si>
  <si>
    <t>ID Caso</t>
  </si>
  <si>
    <t>Título do caso</t>
  </si>
  <si>
    <t>Ciclo / Build</t>
  </si>
  <si>
    <t>Ambiente / Navegador</t>
  </si>
  <si>
    <t>Resultado</t>
  </si>
  <si>
    <t>Descrição da evidência</t>
  </si>
  <si>
    <t>Link / caminho do arquivo</t>
  </si>
  <si>
    <t>EV-001</t>
  </si>
  <si>
    <t>Cadastro concluído com sucesso; mensagem de confirmação exibida após clicar em 'Cadastrar'.</t>
  </si>
  <si>
    <t>Screenshot</t>
  </si>
  <si>
    <t>REGISTRO DE BUGS</t>
  </si>
  <si>
    <t>Abra um bug sempre que um caso for reprovado. Coluna D é calculada a partir do ID do caso.</t>
  </si>
  <si>
    <t>ID Bug</t>
  </si>
  <si>
    <t>Título</t>
  </si>
  <si>
    <t>Descrição</t>
  </si>
  <si>
    <t>Passos para reproduzir</t>
  </si>
  <si>
    <t>Evidência (link / caminho)</t>
  </si>
  <si>
    <t>Reportado por</t>
  </si>
  <si>
    <t>Data abertura</t>
  </si>
  <si>
    <t>Data fechamento</t>
  </si>
  <si>
    <t>BUG-001</t>
  </si>
  <si>
    <t>CT-003</t>
  </si>
  <si>
    <t>Cadastro sem preencher dados obrigatórios</t>
  </si>
  <si>
    <t>1. Acessar a tela e clicar em Registrar                      2. Preencher todos os campos obrigatórios com dados válidos
3. Clicar em 'Cadastrar'</t>
  </si>
  <si>
    <t>Heloisa Ribeiro</t>
  </si>
  <si>
    <t xml:space="preserve">E-mail: maria.costa@teste.com
Nome: Maria Costa
Senha: Teste@123
Confirmação Senha: Teste@123
</t>
  </si>
  <si>
    <t>1. Acessar a tela e clicar o botão Registrar
2. Preencher somente o campo Nome 
3. Deixar campos obrigatórios em branco
4. Clicar em 'Cadastrar'</t>
  </si>
  <si>
    <t>CT-004</t>
  </si>
  <si>
    <t>Cadastro com senhas divergentes</t>
  </si>
  <si>
    <t>1. Acessar a tela e clicar o botão Registrar
2. Preencher os campos com dados inválidos (senhas divergentes)
3.Clicar em 'Cadastrar'</t>
  </si>
  <si>
    <t>1. Acessar a tela e clicar o botão Registrar
2. Preencher os campos com dados inválidos (e-mail sem @)
3.Clicar em 'Cadastrar'</t>
  </si>
  <si>
    <t>EV-002</t>
  </si>
  <si>
    <t xml:space="preserve">E-mail:  [campo vazio]
Nome: Maria Silva
Senha: [campo vazio]
Confirmar senha: [campo vazio]
</t>
  </si>
  <si>
    <t>EV-003</t>
  </si>
  <si>
    <t>Cadastro NÃO realizado, informado nos campos obrigatórios a seguinte mensagem -&gt; É campo obrigatório</t>
  </si>
  <si>
    <t>EV-004</t>
  </si>
  <si>
    <t>1. Acessar a tela e clicar o botão Registrar
2. Preencher os campos com dados válidos e deixar o campo Nome vazio                                           3.Clicar em 'Cadastrar'</t>
  </si>
  <si>
    <t>BUGBANK</t>
  </si>
  <si>
    <t xml:space="preserve">Heloisa Ribeiro </t>
  </si>
  <si>
    <t>CT-005</t>
  </si>
  <si>
    <t>1. Acessar a tela e clicar o botão Registrar
2. Preencher todos os campos e deixar campo Nome vazio 
3.Clicar em 'Cadastrar'</t>
  </si>
  <si>
    <t xml:space="preserve">E-mail: maria.costa@teste.com
Nome: [campo vazio]
Senha: Teste@123
Confirmação Senha: Teste@123
</t>
  </si>
  <si>
    <t xml:space="preserve">E-mail: maria.costa@teste.com       Nome: Maria Costa
Senha: 123
Confirmar senha: 456
</t>
  </si>
  <si>
    <t>N/A (site para prática)</t>
  </si>
  <si>
    <t>Ciclo 1 / 08/10/26</t>
  </si>
  <si>
    <t>Web(https://bugbank.netlify.app/) / Chrome (154.0.8037.98 )</t>
  </si>
  <si>
    <t>Chrome (154.0.8037.98 )</t>
  </si>
  <si>
    <t>Campo Nome vazio exibe tela de erro em vez do aviso "É campo obrigatório", abaixo do campo</t>
  </si>
  <si>
    <t xml:space="preserve">Ao tentar cadastrar com o Nome vazio, o sistema exibe uma tela de erro ("Nome não pode ser vazio") e não mostra o aviso abaixo do campo, como acontece com os outros campos obrigatórios </t>
  </si>
  <si>
    <t>EV-005</t>
  </si>
  <si>
    <t>O cadastro é realizado com sucesso</t>
  </si>
  <si>
    <t>A mensagem de confirmação é exibida -&gt;  A conta 446-3 foi criada com sucesso</t>
  </si>
  <si>
    <t>O cadastro NÃO é realizado, mensagens de erro claras são exibidas e nenhum registro é criado.</t>
  </si>
  <si>
    <t>A mensagem exibida abaixo dos campos vazios é "É campo obrigatório"</t>
  </si>
  <si>
    <t>É exibida a mensagem -&gt; Inclua um "@" no endereço de e-mail. mariasilva.teste.com está com @ faltando</t>
  </si>
  <si>
    <t xml:space="preserve"> A mensagem exibida -&gt; As senhas não são iguais</t>
  </si>
  <si>
    <t xml:space="preserve">E-mail: mariasilva.teste.com       Nome: Maria Costa
Senha: Teste@123
Confirmar senha: Teste@123
</t>
  </si>
  <si>
    <t>Cadastro NÃO realizado, com mensagem de erro exibida As senhas não são iguais</t>
  </si>
  <si>
    <r>
      <t xml:space="preserve">O cadastro NÃO é realizado, mas é exibida uma tela de erro </t>
    </r>
    <r>
      <rPr>
        <i/>
        <sz val="10"/>
        <color rgb="FF0000FF"/>
        <rFont val="Arial"/>
        <family val="2"/>
      </rPr>
      <t>Nome não pode ser vazio e o aviso "É campo obrigatório" não aparece abaixo do campo Nome</t>
    </r>
  </si>
  <si>
    <r>
      <t xml:space="preserve">O cadastro NÃO é realizado, mas é exibida uma tela de erro </t>
    </r>
    <r>
      <rPr>
        <i/>
        <sz val="10"/>
        <color rgb="FF0070C0"/>
        <rFont val="Arial"/>
        <family val="2"/>
      </rPr>
      <t>Nome não pode ser vazio e o aviso "É campo obrigatório" não aparece abaixo do campo Nome</t>
    </r>
  </si>
  <si>
    <t>Cadastro NÃO realizado, exibida mensagem abaixo do campo Formato Inválido e ao clicar no botão Cadastrar é exibida a mensagem -&gt; Inclua um "@" no endereço de e-mail. mariasilva.teste.com está com @ faltando</t>
  </si>
  <si>
    <t>Versão Testada:</t>
  </si>
  <si>
    <t xml:space="preserve"> N/A</t>
  </si>
  <si>
    <t>Evidências\CE-001\EV-001.png</t>
  </si>
  <si>
    <t>Evidências\CE-001\EV-002.png</t>
  </si>
  <si>
    <t>Evidências\CE-001\EV-003.png</t>
  </si>
  <si>
    <t>Evidências\CE-001\EV-004.png</t>
  </si>
  <si>
    <t>Evidências\CE-001\EV-005.png</t>
  </si>
  <si>
    <t>O Cadastro NÃO é realizado e o campo Nome exibe a mensagem "É campo obrigatório" abaixo dele, como nos demais campos obrigatórios</t>
  </si>
  <si>
    <t xml:space="preserve">O cadastro NÃO é realizado, exibe mensagem de erro no campo Formato Inválido  e que falta um @ no emial.  </t>
  </si>
  <si>
    <t>cypress/e2e/register.cy.js</t>
  </si>
  <si>
    <t>Sim</t>
  </si>
  <si>
    <t xml:space="preserve">Cadastro com o campo NOME vazio </t>
  </si>
  <si>
    <t>CT-006</t>
  </si>
  <si>
    <t xml:space="preserve">Cadastro com o campo NOME preenchido apenas com espaço </t>
  </si>
  <si>
    <t xml:space="preserve">E-mail: maria.costa@teste.com
Nome: [clica e dá um espaço]
Senha: Teste@123
Confirmação Senha: Teste@123
</t>
  </si>
  <si>
    <t>O Cadastro é realizado com sucesso</t>
  </si>
  <si>
    <t>O Cadastro NÃO é realizado e o campo NOME exibe uma mensagem informando  que o nome é obrigatório ou inválido</t>
  </si>
  <si>
    <t>BUG-002</t>
  </si>
  <si>
    <t>EV-006</t>
  </si>
  <si>
    <t>Ao informar apenas um espaço no NOME, o sistema trata o campo como preenchido e conclui o cadastro, permitindo contas sem nome válido</t>
  </si>
  <si>
    <t>Automação valida o comportamento atual (tela de erro), reprovado em relação ao esperado, ver BUG-001</t>
  </si>
  <si>
    <t>Evidências\CE-001\EV-006.png</t>
  </si>
  <si>
    <t>BUGS\BUG-001.png</t>
  </si>
  <si>
    <t>BUGS\BUG-002.png</t>
  </si>
  <si>
    <t xml:space="preserve">Cadastro com email em formato inválido </t>
  </si>
  <si>
    <t>1. Acessar a tela e clicar o botão Registrar
2. Preencher todos os campos e deixar campo Nome preenhcido com espaço
3.Clicar em 'Cadastrar'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</si>
</sst>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sz val="11"/>
      <color rgb="FF0070C0"/>
      <name val="Calibri"/>
      <family val="2"/>
      <charset val="1"/>
    </font>
    <font>
      <b/>
      <sz val="10"/>
      <name val="Arial"/>
      <family val="2"/>
    </font>
    <font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1F4E78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10" fillId="4" borderId="1" xfId="0" applyFont="1" applyFill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10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14" fontId="14" fillId="0" borderId="1" xfId="0" applyNumberFormat="1" applyFont="1" applyBorder="1" applyAlignment="1">
      <alignment vertical="top" wrapText="1"/>
    </xf>
    <xf numFmtId="0" fontId="14" fillId="2" borderId="1" xfId="0" applyFont="1" applyFill="1" applyBorder="1" applyAlignment="1">
      <alignment vertical="top" wrapText="1"/>
    </xf>
    <xf numFmtId="0" fontId="15" fillId="0" borderId="0" xfId="0" applyFont="1"/>
    <xf numFmtId="0" fontId="12" fillId="0" borderId="0" xfId="0" applyFont="1"/>
    <xf numFmtId="14" fontId="3" fillId="0" borderId="0" xfId="0" applyNumberFormat="1" applyFont="1" applyAlignment="1">
      <alignment horizontal="left"/>
    </xf>
    <xf numFmtId="0" fontId="16" fillId="0" borderId="0" xfId="0" applyFont="1"/>
  </cellXfs>
  <cellStyles count="1">
    <cellStyle name="Normal" xfId="0" builtinId="0"/>
  </cellStyles>
  <dxfs count="62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1F4E78"/>
        <name val="Arial"/>
        <charset val="1"/>
      </font>
      <fill>
        <patternFill>
          <bgColor rgb="FFDDEBF7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7F0000"/>
        <name val="Arial"/>
        <charset val="1"/>
      </font>
      <fill>
        <patternFill>
          <bgColor rgb="FFFF9999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1F4E78"/>
        <name val="Arial"/>
        <charset val="1"/>
      </font>
      <fill>
        <patternFill>
          <bgColor rgb="FFDDEBF7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7F0000"/>
        <name val="Arial"/>
        <charset val="1"/>
      </font>
      <fill>
        <patternFill>
          <bgColor rgb="FFFF9999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F2F2F2"/>
      <rgbColor rgb="FFC6EFCE"/>
      <rgbColor rgb="FFFFEB9C"/>
      <rgbColor rgb="FF99CCFF"/>
      <rgbColor rgb="FFFF999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zoomScaleNormal="100" workbookViewId="0">
      <selection activeCell="A4" sqref="A4"/>
    </sheetView>
  </sheetViews>
  <sheetFormatPr defaultColWidth="8.7109375" defaultRowHeight="15" x14ac:dyDescent="0.25"/>
  <cols>
    <col min="1" max="1" width="24" customWidth="1"/>
    <col min="2" max="2" width="100" customWidth="1"/>
  </cols>
  <sheetData>
    <row r="1" spans="1:2" ht="23.25" x14ac:dyDescent="0.35">
      <c r="A1" s="1" t="s">
        <v>0</v>
      </c>
    </row>
    <row r="3" spans="1:2" x14ac:dyDescent="0.25">
      <c r="A3" s="2" t="s">
        <v>1</v>
      </c>
      <c r="B3" s="29" t="s">
        <v>142</v>
      </c>
    </row>
    <row r="4" spans="1:2" x14ac:dyDescent="0.25">
      <c r="A4" s="31" t="s">
        <v>166</v>
      </c>
      <c r="B4" s="29" t="s">
        <v>148</v>
      </c>
    </row>
    <row r="5" spans="1:2" x14ac:dyDescent="0.25">
      <c r="A5" s="2" t="s">
        <v>2</v>
      </c>
      <c r="B5" s="29" t="s">
        <v>143</v>
      </c>
    </row>
    <row r="6" spans="1:2" x14ac:dyDescent="0.25">
      <c r="A6" s="2" t="s">
        <v>3</v>
      </c>
      <c r="B6" s="30">
        <v>46303</v>
      </c>
    </row>
    <row r="8" spans="1:2" ht="15.75" x14ac:dyDescent="0.25">
      <c r="A8" s="3" t="s">
        <v>4</v>
      </c>
    </row>
    <row r="9" spans="1:2" x14ac:dyDescent="0.25">
      <c r="A9" s="4" t="s">
        <v>5</v>
      </c>
    </row>
    <row r="10" spans="1:2" x14ac:dyDescent="0.25">
      <c r="A10" s="4" t="s">
        <v>6</v>
      </c>
    </row>
    <row r="11" spans="1:2" x14ac:dyDescent="0.25">
      <c r="A11" s="4" t="s">
        <v>7</v>
      </c>
    </row>
    <row r="12" spans="1:2" x14ac:dyDescent="0.25">
      <c r="A12" s="4" t="s">
        <v>8</v>
      </c>
    </row>
    <row r="13" spans="1:2" x14ac:dyDescent="0.25">
      <c r="A13" s="4" t="s">
        <v>9</v>
      </c>
    </row>
    <row r="15" spans="1:2" ht="15.75" x14ac:dyDescent="0.25">
      <c r="A15" s="3" t="s">
        <v>10</v>
      </c>
    </row>
    <row r="16" spans="1:2" x14ac:dyDescent="0.25">
      <c r="A16" s="5" t="s">
        <v>11</v>
      </c>
      <c r="B16" s="4" t="s">
        <v>12</v>
      </c>
    </row>
    <row r="17" spans="1:2" x14ac:dyDescent="0.25">
      <c r="A17" s="6" t="s">
        <v>13</v>
      </c>
      <c r="B17" s="4" t="s">
        <v>14</v>
      </c>
    </row>
    <row r="18" spans="1:2" x14ac:dyDescent="0.25">
      <c r="A18" s="7" t="s">
        <v>15</v>
      </c>
      <c r="B18" s="4" t="s">
        <v>16</v>
      </c>
    </row>
    <row r="20" spans="1:2" ht="15.75" x14ac:dyDescent="0.25">
      <c r="A20" s="3" t="s">
        <v>17</v>
      </c>
    </row>
    <row r="21" spans="1:2" x14ac:dyDescent="0.25">
      <c r="A21" s="2" t="s">
        <v>18</v>
      </c>
      <c r="B21" s="4" t="s">
        <v>19</v>
      </c>
    </row>
    <row r="22" spans="1:2" x14ac:dyDescent="0.25">
      <c r="A22" s="2" t="s">
        <v>20</v>
      </c>
      <c r="B22" s="4" t="s">
        <v>21</v>
      </c>
    </row>
    <row r="23" spans="1:2" x14ac:dyDescent="0.25">
      <c r="A23" s="2" t="s">
        <v>22</v>
      </c>
      <c r="B23" s="4" t="s">
        <v>23</v>
      </c>
    </row>
    <row r="24" spans="1:2" x14ac:dyDescent="0.25">
      <c r="A24" s="2" t="s">
        <v>24</v>
      </c>
      <c r="B24" s="4" t="s">
        <v>25</v>
      </c>
    </row>
    <row r="25" spans="1:2" x14ac:dyDescent="0.25">
      <c r="A25" s="2" t="s">
        <v>26</v>
      </c>
      <c r="B25" s="4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zoomScaleNormal="100" workbookViewId="0">
      <selection activeCell="D38" sqref="D38"/>
    </sheetView>
  </sheetViews>
  <sheetFormatPr defaultColWidth="8.7109375" defaultRowHeight="15" x14ac:dyDescent="0.25"/>
  <cols>
    <col min="1" max="1" width="34" customWidth="1"/>
    <col min="2" max="2" width="14" customWidth="1"/>
    <col min="3" max="3" width="22" customWidth="1"/>
    <col min="4" max="4" width="14" customWidth="1"/>
  </cols>
  <sheetData>
    <row r="1" spans="1:3" ht="18" x14ac:dyDescent="0.25">
      <c r="A1" s="8" t="s">
        <v>28</v>
      </c>
    </row>
    <row r="2" spans="1:3" x14ac:dyDescent="0.25">
      <c r="A2" s="9" t="s">
        <v>29</v>
      </c>
    </row>
    <row r="3" spans="1:3" ht="15.75" x14ac:dyDescent="0.25">
      <c r="A3" s="3" t="s">
        <v>30</v>
      </c>
    </row>
    <row r="4" spans="1:3" x14ac:dyDescent="0.25">
      <c r="A4" s="10" t="s">
        <v>31</v>
      </c>
      <c r="B4" s="10" t="s">
        <v>32</v>
      </c>
    </row>
    <row r="5" spans="1:3" x14ac:dyDescent="0.25">
      <c r="A5" s="11" t="s">
        <v>33</v>
      </c>
      <c r="B5" s="11">
        <f>COUNTIF(Cenarios!$A$5:$A$54,"?*")</f>
        <v>1</v>
      </c>
    </row>
    <row r="6" spans="1:3" x14ac:dyDescent="0.25">
      <c r="A6" s="11" t="s">
        <v>34</v>
      </c>
      <c r="B6" s="11">
        <f>COUNTIF('Casos de Teste'!$A$5:$A$205,"?*")</f>
        <v>6</v>
      </c>
    </row>
    <row r="7" spans="1:3" x14ac:dyDescent="0.25">
      <c r="A7" s="11" t="s">
        <v>35</v>
      </c>
      <c r="B7" s="11">
        <f>COUNTIF('Casos de Teste'!$M$5:$M$205,"Sim")</f>
        <v>6</v>
      </c>
    </row>
    <row r="8" spans="1:3" x14ac:dyDescent="0.25">
      <c r="A8" s="11" t="s">
        <v>36</v>
      </c>
      <c r="B8" s="12">
        <f>IF(B6=0,0,B7/B6)</f>
        <v>1</v>
      </c>
    </row>
    <row r="9" spans="1:3" x14ac:dyDescent="0.25">
      <c r="A9" s="11" t="s">
        <v>37</v>
      </c>
      <c r="B9" s="11">
        <f>COUNTIF(Bugs!$A$5:$A$202,"?*")</f>
        <v>2</v>
      </c>
    </row>
    <row r="10" spans="1:3" x14ac:dyDescent="0.25">
      <c r="A10" s="11" t="s">
        <v>38</v>
      </c>
      <c r="B10" s="11">
        <f>COUNTIF(Bugs!$A$5:$A$202,"?*")-COUNTIF(Bugs!$G$5:$G$202,"Fechado")</f>
        <v>2</v>
      </c>
    </row>
    <row r="12" spans="1:3" ht="15.75" x14ac:dyDescent="0.25">
      <c r="A12" s="3" t="s">
        <v>39</v>
      </c>
    </row>
    <row r="13" spans="1:3" x14ac:dyDescent="0.25">
      <c r="A13" s="10" t="s">
        <v>40</v>
      </c>
      <c r="B13" s="10" t="s">
        <v>41</v>
      </c>
      <c r="C13" s="10" t="s">
        <v>42</v>
      </c>
    </row>
    <row r="14" spans="1:3" x14ac:dyDescent="0.25">
      <c r="A14" s="11" t="s">
        <v>43</v>
      </c>
      <c r="B14" s="11">
        <f>COUNTIF('Casos de Teste'!$L$5:$L$205,A14)</f>
        <v>4</v>
      </c>
      <c r="C14" s="12">
        <f>IF($B$18=0,0,B14/$B$18)</f>
        <v>0.66666666666666663</v>
      </c>
    </row>
    <row r="15" spans="1:3" x14ac:dyDescent="0.25">
      <c r="A15" s="11" t="s">
        <v>44</v>
      </c>
      <c r="B15" s="11">
        <f>COUNTIF('Casos de Teste'!$L$5:$L$205,A15)</f>
        <v>2</v>
      </c>
      <c r="C15" s="12">
        <f>IF($B$18=0,0,B15/$B$18)</f>
        <v>0.33333333333333331</v>
      </c>
    </row>
    <row r="16" spans="1:3" x14ac:dyDescent="0.25">
      <c r="A16" s="11" t="s">
        <v>45</v>
      </c>
      <c r="B16" s="11">
        <f>COUNTIF('Casos de Teste'!$L$5:$L$205,A16)</f>
        <v>0</v>
      </c>
      <c r="C16" s="12">
        <f>IF($B$18=0,0,B16/$B$18)</f>
        <v>0</v>
      </c>
    </row>
    <row r="17" spans="1:4" x14ac:dyDescent="0.25">
      <c r="A17" s="11" t="s">
        <v>46</v>
      </c>
      <c r="B17" s="11">
        <f>$B$6-SUM(B14:B16)</f>
        <v>0</v>
      </c>
      <c r="C17" s="12">
        <f>IF($B$18=0,0,B17/$B$18)</f>
        <v>0</v>
      </c>
    </row>
    <row r="18" spans="1:4" x14ac:dyDescent="0.25">
      <c r="A18" s="13" t="s">
        <v>47</v>
      </c>
      <c r="B18" s="13">
        <f>SUM(B14:B17)</f>
        <v>6</v>
      </c>
      <c r="C18" s="14">
        <f>IF($B$18=0,0,SUM(C14:C17))</f>
        <v>1</v>
      </c>
    </row>
    <row r="20" spans="1:4" ht="15.75" x14ac:dyDescent="0.25">
      <c r="A20" s="3" t="s">
        <v>48</v>
      </c>
    </row>
    <row r="21" spans="1:4" x14ac:dyDescent="0.25">
      <c r="A21" s="10" t="s">
        <v>49</v>
      </c>
      <c r="B21" s="10" t="s">
        <v>47</v>
      </c>
      <c r="C21" s="10" t="s">
        <v>50</v>
      </c>
      <c r="D21" s="10" t="s">
        <v>51</v>
      </c>
    </row>
    <row r="22" spans="1:4" x14ac:dyDescent="0.25">
      <c r="A22" s="11" t="s">
        <v>52</v>
      </c>
      <c r="B22" s="11">
        <f>COUNTIF('Casos de Teste'!$E$5:$E$205,A22)</f>
        <v>1</v>
      </c>
      <c r="C22" s="11">
        <f>COUNTIFS('Casos de Teste'!$E$5:$E$205,A22,'Casos de Teste'!$L$5:$L$205,"Aprovado")</f>
        <v>1</v>
      </c>
      <c r="D22" s="11">
        <f>COUNTIFS('Casos de Teste'!$E$5:$E$205,A22,'Casos de Teste'!$L$5:$L$205,"Reprovado")</f>
        <v>0</v>
      </c>
    </row>
    <row r="23" spans="1:4" x14ac:dyDescent="0.25">
      <c r="A23" s="11" t="s">
        <v>53</v>
      </c>
      <c r="B23" s="11">
        <f>COUNTIF('Casos de Teste'!$E$5:$E$205,A23)</f>
        <v>5</v>
      </c>
      <c r="C23" s="11">
        <f>COUNTIFS('Casos de Teste'!$E$5:$E$205,A23,'Casos de Teste'!$L$5:$L$205,"Aprovado")</f>
        <v>3</v>
      </c>
      <c r="D23" s="11">
        <f>COUNTIFS('Casos de Teste'!$E$5:$E$205,A23,'Casos de Teste'!$L$5:$L$205,"Reprovado")</f>
        <v>2</v>
      </c>
    </row>
    <row r="25" spans="1:4" ht="15.75" x14ac:dyDescent="0.25">
      <c r="A25" s="3" t="s">
        <v>54</v>
      </c>
    </row>
    <row r="26" spans="1:4" x14ac:dyDescent="0.25">
      <c r="A26" s="10" t="s">
        <v>55</v>
      </c>
      <c r="B26" s="10" t="s">
        <v>47</v>
      </c>
      <c r="C26" s="10" t="s">
        <v>56</v>
      </c>
    </row>
    <row r="27" spans="1:4" x14ac:dyDescent="0.25">
      <c r="A27" s="11" t="s">
        <v>57</v>
      </c>
      <c r="B27" s="11">
        <f>COUNTIF(Bugs!$E$5:$E$202,A27)</f>
        <v>0</v>
      </c>
      <c r="C27" s="11">
        <f>COUNTIFS(Bugs!$E$5:$E$202,A27,Bugs!$G$5:$G$202,"&lt;&gt;Fechado")</f>
        <v>0</v>
      </c>
    </row>
    <row r="28" spans="1:4" x14ac:dyDescent="0.25">
      <c r="A28" s="11" t="s">
        <v>58</v>
      </c>
      <c r="B28" s="11">
        <f>COUNTIF(Bugs!$E$5:$E$202,A28)</f>
        <v>0</v>
      </c>
      <c r="C28" s="11">
        <f>COUNTIFS(Bugs!$E$5:$E$202,A28,Bugs!$G$5:$G$202,"&lt;&gt;Fechado")</f>
        <v>0</v>
      </c>
    </row>
    <row r="29" spans="1:4" x14ac:dyDescent="0.25">
      <c r="A29" s="11" t="s">
        <v>59</v>
      </c>
      <c r="B29" s="11">
        <f>COUNTIF(Bugs!$E$5:$E$202,A29)</f>
        <v>1</v>
      </c>
      <c r="C29" s="11">
        <f>COUNTIFS(Bugs!$E$5:$E$202,A29,Bugs!$G$5:$G$202,"&lt;&gt;Fechado")</f>
        <v>1</v>
      </c>
    </row>
    <row r="30" spans="1:4" x14ac:dyDescent="0.25">
      <c r="A30" s="11" t="s">
        <v>60</v>
      </c>
      <c r="B30" s="11">
        <f>COUNTIF(Bugs!$E$5:$E$202,A30)</f>
        <v>1</v>
      </c>
      <c r="C30" s="11">
        <f>COUNTIFS(Bugs!$E$5:$E$202,A30,Bugs!$G$5:$G$202,"&lt;&gt;Fechado")</f>
        <v>1</v>
      </c>
    </row>
    <row r="32" spans="1:4" ht="15.75" x14ac:dyDescent="0.25">
      <c r="A32" s="3" t="s">
        <v>61</v>
      </c>
    </row>
    <row r="33" spans="1:2" x14ac:dyDescent="0.25">
      <c r="A33" s="10" t="s">
        <v>40</v>
      </c>
      <c r="B33" s="10" t="s">
        <v>41</v>
      </c>
    </row>
    <row r="34" spans="1:2" x14ac:dyDescent="0.25">
      <c r="A34" s="11" t="s">
        <v>62</v>
      </c>
      <c r="B34" s="11">
        <f>COUNTIF(Bugs!$G$5:$G$202,A34)</f>
        <v>2</v>
      </c>
    </row>
    <row r="35" spans="1:2" x14ac:dyDescent="0.25">
      <c r="A35" s="11" t="s">
        <v>63</v>
      </c>
      <c r="B35" s="11">
        <f>COUNTIF(Bugs!$G$5:$G$202,A35)</f>
        <v>0</v>
      </c>
    </row>
    <row r="36" spans="1:2" x14ac:dyDescent="0.25">
      <c r="A36" s="11" t="s">
        <v>64</v>
      </c>
      <c r="B36" s="11">
        <f>COUNTIF(Bugs!$G$5:$G$202,A36)</f>
        <v>0</v>
      </c>
    </row>
    <row r="37" spans="1:2" x14ac:dyDescent="0.25">
      <c r="A37" s="11" t="s">
        <v>65</v>
      </c>
      <c r="B37" s="11">
        <f>COUNTIF(Bugs!$G$5:$G$202,A37)</f>
        <v>0</v>
      </c>
    </row>
    <row r="38" spans="1:2" x14ac:dyDescent="0.25">
      <c r="A38" s="11" t="s">
        <v>66</v>
      </c>
      <c r="B38" s="11">
        <f>COUNTIF(Bugs!$G$5:$G$202,A38)</f>
        <v>0</v>
      </c>
    </row>
    <row r="40" spans="1:2" x14ac:dyDescent="0.25">
      <c r="A40" s="9" t="s">
        <v>67</v>
      </c>
    </row>
  </sheetData>
  <conditionalFormatting sqref="A14:A17">
    <cfRule type="cellIs" dxfId="61" priority="2" operator="equal">
      <formula>"Aprovado"</formula>
    </cfRule>
    <cfRule type="cellIs" dxfId="60" priority="3" operator="equal">
      <formula>"Reprovado"</formula>
    </cfRule>
    <cfRule type="cellIs" dxfId="59" priority="4" operator="equal">
      <formula>"Bloqueado"</formula>
    </cfRule>
    <cfRule type="cellIs" dxfId="58" priority="5" operator="equal">
      <formula>"Fechado"</formula>
    </cfRule>
    <cfRule type="cellIs" dxfId="57" priority="6" operator="equal">
      <formula>"Corrigido"</formula>
    </cfRule>
    <cfRule type="cellIs" dxfId="56" priority="7" operator="equal">
      <formula>"Aberto"</formula>
    </cfRule>
    <cfRule type="cellIs" dxfId="55" priority="8" operator="equal">
      <formula>"Em andamento"</formula>
    </cfRule>
    <cfRule type="cellIs" dxfId="54" priority="9" operator="equal">
      <formula>"Em correção"</formula>
    </cfRule>
    <cfRule type="cellIs" dxfId="53" priority="10" operator="equal">
      <formula>"Reaberto"</formula>
    </cfRule>
  </conditionalFormatting>
  <conditionalFormatting sqref="A27:A30">
    <cfRule type="cellIs" dxfId="52" priority="11" operator="equal">
      <formula>"Crítica"</formula>
    </cfRule>
    <cfRule type="cellIs" dxfId="51" priority="12" operator="equal">
      <formula>"Alta"</formula>
    </cfRule>
    <cfRule type="cellIs" dxfId="50" priority="13" operator="equal">
      <formula>"Média"</formula>
    </cfRule>
    <cfRule type="cellIs" dxfId="49" priority="14" operator="equal">
      <formula>"Baixa"</formula>
    </cfRule>
  </conditionalFormatting>
  <conditionalFormatting sqref="A34:A38">
    <cfRule type="cellIs" dxfId="48" priority="15" operator="equal">
      <formula>"Aprovado"</formula>
    </cfRule>
    <cfRule type="cellIs" dxfId="47" priority="16" operator="equal">
      <formula>"Reprovado"</formula>
    </cfRule>
    <cfRule type="cellIs" dxfId="46" priority="17" operator="equal">
      <formula>"Bloqueado"</formula>
    </cfRule>
    <cfRule type="cellIs" dxfId="45" priority="18" operator="equal">
      <formula>"Fechado"</formula>
    </cfRule>
    <cfRule type="cellIs" dxfId="44" priority="19" operator="equal">
      <formula>"Corrigido"</formula>
    </cfRule>
    <cfRule type="cellIs" dxfId="43" priority="20" operator="equal">
      <formula>"Aberto"</formula>
    </cfRule>
    <cfRule type="cellIs" dxfId="42" priority="21" operator="equal">
      <formula>"Em andamento"</formula>
    </cfRule>
    <cfRule type="cellIs" dxfId="41" priority="22" operator="equal">
      <formula>"Em correção"</formula>
    </cfRule>
    <cfRule type="cellIs" dxfId="40" priority="23" operator="equal">
      <formula>"Reaberto"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6" sqref="G6"/>
    </sheetView>
  </sheetViews>
  <sheetFormatPr defaultColWidth="8.7109375" defaultRowHeight="15" x14ac:dyDescent="0.25"/>
  <cols>
    <col min="1" max="1" width="10" customWidth="1"/>
    <col min="2" max="2" width="24" customWidth="1"/>
    <col min="3" max="3" width="48" customWidth="1"/>
    <col min="4" max="4" width="18" customWidth="1"/>
    <col min="5" max="5" width="12" customWidth="1"/>
    <col min="6" max="6" width="20" customWidth="1"/>
    <col min="7" max="7" width="18" customWidth="1"/>
    <col min="8" max="10" width="12" customWidth="1"/>
    <col min="11" max="11" width="18" customWidth="1"/>
  </cols>
  <sheetData>
    <row r="1" spans="1:11" ht="18" x14ac:dyDescent="0.25">
      <c r="A1" s="8" t="s">
        <v>68</v>
      </c>
    </row>
    <row r="2" spans="1:11" x14ac:dyDescent="0.25">
      <c r="A2" s="9" t="s">
        <v>69</v>
      </c>
    </row>
    <row r="4" spans="1:11" ht="31.5" customHeight="1" x14ac:dyDescent="0.25">
      <c r="A4" s="15" t="s">
        <v>70</v>
      </c>
      <c r="B4" s="15" t="s">
        <v>71</v>
      </c>
      <c r="C4" s="15" t="s">
        <v>72</v>
      </c>
      <c r="D4" s="15" t="s">
        <v>73</v>
      </c>
      <c r="E4" s="15" t="s">
        <v>20</v>
      </c>
      <c r="F4" s="15" t="s">
        <v>74</v>
      </c>
      <c r="G4" s="15" t="s">
        <v>75</v>
      </c>
      <c r="H4" s="15" t="s">
        <v>76</v>
      </c>
      <c r="I4" s="15" t="s">
        <v>50</v>
      </c>
      <c r="J4" s="15" t="s">
        <v>51</v>
      </c>
      <c r="K4" s="15" t="s">
        <v>77</v>
      </c>
    </row>
    <row r="5" spans="1:11" ht="60" customHeight="1" x14ac:dyDescent="0.25">
      <c r="A5" s="16" t="s">
        <v>78</v>
      </c>
      <c r="B5" s="16" t="s">
        <v>79</v>
      </c>
      <c r="C5" s="16" t="s">
        <v>80</v>
      </c>
      <c r="D5" s="16" t="s">
        <v>79</v>
      </c>
      <c r="E5" s="16" t="s">
        <v>58</v>
      </c>
      <c r="F5" s="22" t="s">
        <v>167</v>
      </c>
      <c r="G5" s="22" t="s">
        <v>129</v>
      </c>
      <c r="H5" s="17">
        <f>IF($A5="","",COUNTIF('Casos de Teste'!$B$5:$B$205,$A5))</f>
        <v>6</v>
      </c>
      <c r="I5" s="17">
        <f>IF($A5="","",COUNTIFS('Casos de Teste'!$B$5:$B$205,$A5,'Casos de Teste'!$L$5:$L$205,"Aprovado"))</f>
        <v>4</v>
      </c>
      <c r="J5" s="17">
        <f>IF($A5="","",COUNTIFS('Casos de Teste'!$B$5:$B$205,$A5,'Casos de Teste'!$L$5:$L$205,"Reprovado"))</f>
        <v>2</v>
      </c>
      <c r="K5" s="17" t="str">
        <f>IF($A5="","",IF(H5=0,"Sem casos",IF(J5&gt;0,"Reprovado",IF(I5=H5,"Aprovado",IF(I5+J5+COUNTIFS('Casos de Teste'!$B$5:$B$205,$A5,'Casos de Teste'!$L$5:$L$205,"Bloqueado")=0,"Não iniciado","Em andamento")))))</f>
        <v>Reprovado</v>
      </c>
    </row>
    <row r="6" spans="1:11" x14ac:dyDescent="0.25">
      <c r="A6" s="18"/>
      <c r="B6" s="18"/>
      <c r="C6" s="18"/>
      <c r="D6" s="18"/>
      <c r="E6" s="18"/>
      <c r="F6" s="18"/>
      <c r="G6" s="18"/>
      <c r="H6" s="17" t="str">
        <f>IF($A6="","",COUNTIF('Casos de Teste'!$B$5:$B$205,$A6))</f>
        <v/>
      </c>
      <c r="I6" s="17" t="str">
        <f>IF($A6="","",COUNTIFS('Casos de Teste'!$B$5:$B$205,$A6,'Casos de Teste'!$L$5:$L$205,"Aprovado"))</f>
        <v/>
      </c>
      <c r="J6" s="17" t="str">
        <f>IF($A6="","",COUNTIFS('Casos de Teste'!$B$5:$B$205,$A6,'Casos de Teste'!$L$5:$L$205,"Reprovado"))</f>
        <v/>
      </c>
      <c r="K6" s="17" t="str">
        <f>IF($A6="","",IF(H6=0,"Sem casos",IF(J6&gt;0,"Reprovado",IF(I6=H6,"Aprovado",IF(I6+J6+COUNTIFS('Casos de Teste'!$B$5:$B$205,$A6,'Casos de Teste'!$L$5:$L$205,"Bloqueado")=0,"Não iniciado","Em andamento")))))</f>
        <v/>
      </c>
    </row>
    <row r="7" spans="1:11" x14ac:dyDescent="0.25">
      <c r="A7" s="18"/>
      <c r="B7" s="18"/>
      <c r="C7" s="18"/>
      <c r="D7" s="18"/>
      <c r="E7" s="18"/>
      <c r="F7" s="18"/>
      <c r="G7" s="18"/>
      <c r="H7" s="17" t="str">
        <f>IF($A7="","",COUNTIF('Casos de Teste'!$B$5:$B$205,$A7))</f>
        <v/>
      </c>
      <c r="I7" s="17" t="str">
        <f>IF($A7="","",COUNTIFS('Casos de Teste'!$B$5:$B$205,$A7,'Casos de Teste'!$L$5:$L$205,"Aprovado"))</f>
        <v/>
      </c>
      <c r="J7" s="17" t="str">
        <f>IF($A7="","",COUNTIFS('Casos de Teste'!$B$5:$B$205,$A7,'Casos de Teste'!$L$5:$L$205,"Reprovado"))</f>
        <v/>
      </c>
      <c r="K7" s="17" t="str">
        <f>IF($A7="","",IF(H7=0,"Sem casos",IF(J7&gt;0,"Reprovado",IF(I7=H7,"Aprovado",IF(I7+J7+COUNTIFS('Casos de Teste'!$B$5:$B$205,$A7,'Casos de Teste'!$L$5:$L$205,"Bloqueado")=0,"Não iniciado","Em andamento")))))</f>
        <v/>
      </c>
    </row>
    <row r="8" spans="1:11" x14ac:dyDescent="0.25">
      <c r="A8" s="18"/>
      <c r="B8" s="18"/>
      <c r="C8" s="18"/>
      <c r="D8" s="18"/>
      <c r="E8" s="18"/>
      <c r="F8" s="18"/>
      <c r="G8" s="18"/>
      <c r="H8" s="17" t="str">
        <f>IF($A8="","",COUNTIF('Casos de Teste'!$B$5:$B$205,$A8))</f>
        <v/>
      </c>
      <c r="I8" s="17" t="str">
        <f>IF($A8="","",COUNTIFS('Casos de Teste'!$B$5:$B$205,$A8,'Casos de Teste'!$L$5:$L$205,"Aprovado"))</f>
        <v/>
      </c>
      <c r="J8" s="17" t="str">
        <f>IF($A8="","",COUNTIFS('Casos de Teste'!$B$5:$B$205,$A8,'Casos de Teste'!$L$5:$L$205,"Reprovado"))</f>
        <v/>
      </c>
      <c r="K8" s="17" t="str">
        <f>IF($A8="","",IF(H8=0,"Sem casos",IF(J8&gt;0,"Reprovado",IF(I8=H8,"Aprovado",IF(I8+J8+COUNTIFS('Casos de Teste'!$B$5:$B$205,$A8,'Casos de Teste'!$L$5:$L$205,"Bloqueado")=0,"Não iniciado","Em andamento")))))</f>
        <v/>
      </c>
    </row>
    <row r="9" spans="1:11" x14ac:dyDescent="0.25">
      <c r="A9" s="18"/>
      <c r="B9" s="18"/>
      <c r="C9" s="18"/>
      <c r="D9" s="18"/>
      <c r="E9" s="18"/>
      <c r="F9" s="18"/>
      <c r="G9" s="18"/>
      <c r="H9" s="17" t="str">
        <f>IF($A9="","",COUNTIF('Casos de Teste'!$B$5:$B$205,$A9))</f>
        <v/>
      </c>
      <c r="I9" s="17" t="str">
        <f>IF($A9="","",COUNTIFS('Casos de Teste'!$B$5:$B$205,$A9,'Casos de Teste'!$L$5:$L$205,"Aprovado"))</f>
        <v/>
      </c>
      <c r="J9" s="17" t="str">
        <f>IF($A9="","",COUNTIFS('Casos de Teste'!$B$5:$B$205,$A9,'Casos de Teste'!$L$5:$L$205,"Reprovado"))</f>
        <v/>
      </c>
      <c r="K9" s="17" t="str">
        <f>IF($A9="","",IF(H9=0,"Sem casos",IF(J9&gt;0,"Reprovado",IF(I9=H9,"Aprovado",IF(I9+J9+COUNTIFS('Casos de Teste'!$B$5:$B$205,$A9,'Casos de Teste'!$L$5:$L$205,"Bloqueado")=0,"Não iniciado","Em andamento")))))</f>
        <v/>
      </c>
    </row>
    <row r="10" spans="1:11" x14ac:dyDescent="0.25">
      <c r="A10" s="18"/>
      <c r="B10" s="18"/>
      <c r="C10" s="18"/>
      <c r="D10" s="18"/>
      <c r="E10" s="18"/>
      <c r="F10" s="18"/>
      <c r="G10" s="18"/>
      <c r="H10" s="17" t="str">
        <f>IF($A10="","",COUNTIF('Casos de Teste'!$B$5:$B$205,$A10))</f>
        <v/>
      </c>
      <c r="I10" s="17" t="str">
        <f>IF($A10="","",COUNTIFS('Casos de Teste'!$B$5:$B$205,$A10,'Casos de Teste'!$L$5:$L$205,"Aprovado"))</f>
        <v/>
      </c>
      <c r="J10" s="17" t="str">
        <f>IF($A10="","",COUNTIFS('Casos de Teste'!$B$5:$B$205,$A10,'Casos de Teste'!$L$5:$L$205,"Reprovado"))</f>
        <v/>
      </c>
      <c r="K10" s="17" t="str">
        <f>IF($A10="","",IF(H10=0,"Sem casos",IF(J10&gt;0,"Reprovado",IF(I10=H10,"Aprovado",IF(I10+J10+COUNTIFS('Casos de Teste'!$B$5:$B$205,$A10,'Casos de Teste'!$L$5:$L$205,"Bloqueado")=0,"Não iniciado","Em andamento")))))</f>
        <v/>
      </c>
    </row>
    <row r="11" spans="1:11" x14ac:dyDescent="0.25">
      <c r="A11" s="18"/>
      <c r="B11" s="18"/>
      <c r="C11" s="18"/>
      <c r="D11" s="18"/>
      <c r="E11" s="18"/>
      <c r="F11" s="18"/>
      <c r="G11" s="18"/>
      <c r="H11" s="17" t="str">
        <f>IF($A11="","",COUNTIF('Casos de Teste'!$B$5:$B$205,$A11))</f>
        <v/>
      </c>
      <c r="I11" s="17" t="str">
        <f>IF($A11="","",COUNTIFS('Casos de Teste'!$B$5:$B$205,$A11,'Casos de Teste'!$L$5:$L$205,"Aprovado"))</f>
        <v/>
      </c>
      <c r="J11" s="17" t="str">
        <f>IF($A11="","",COUNTIFS('Casos de Teste'!$B$5:$B$205,$A11,'Casos de Teste'!$L$5:$L$205,"Reprovado"))</f>
        <v/>
      </c>
      <c r="K11" s="17" t="str">
        <f>IF($A11="","",IF(H11=0,"Sem casos",IF(J11&gt;0,"Reprovado",IF(I11=H11,"Aprovado",IF(I11+J11+COUNTIFS('Casos de Teste'!$B$5:$B$205,$A11,'Casos de Teste'!$L$5:$L$205,"Bloqueado")=0,"Não iniciado","Em andamento")))))</f>
        <v/>
      </c>
    </row>
    <row r="12" spans="1:11" x14ac:dyDescent="0.25">
      <c r="A12" s="18"/>
      <c r="B12" s="18"/>
      <c r="C12" s="18"/>
      <c r="D12" s="18"/>
      <c r="E12" s="18"/>
      <c r="F12" s="18"/>
      <c r="G12" s="18"/>
      <c r="H12" s="17" t="str">
        <f>IF($A12="","",COUNTIF('Casos de Teste'!$B$5:$B$205,$A12))</f>
        <v/>
      </c>
      <c r="I12" s="17" t="str">
        <f>IF($A12="","",COUNTIFS('Casos de Teste'!$B$5:$B$205,$A12,'Casos de Teste'!$L$5:$L$205,"Aprovado"))</f>
        <v/>
      </c>
      <c r="J12" s="17" t="str">
        <f>IF($A12="","",COUNTIFS('Casos de Teste'!$B$5:$B$205,$A12,'Casos de Teste'!$L$5:$L$205,"Reprovado"))</f>
        <v/>
      </c>
      <c r="K12" s="17" t="str">
        <f>IF($A12="","",IF(H12=0,"Sem casos",IF(J12&gt;0,"Reprovado",IF(I12=H12,"Aprovado",IF(I12+J12+COUNTIFS('Casos de Teste'!$B$5:$B$205,$A12,'Casos de Teste'!$L$5:$L$205,"Bloqueado")=0,"Não iniciado","Em andamento")))))</f>
        <v/>
      </c>
    </row>
    <row r="13" spans="1:11" x14ac:dyDescent="0.25">
      <c r="A13" s="18"/>
      <c r="B13" s="18"/>
      <c r="C13" s="18"/>
      <c r="D13" s="18"/>
      <c r="E13" s="18"/>
      <c r="F13" s="18"/>
      <c r="G13" s="18"/>
      <c r="H13" s="17" t="str">
        <f>IF($A13="","",COUNTIF('Casos de Teste'!$B$5:$B$205,$A13))</f>
        <v/>
      </c>
      <c r="I13" s="17" t="str">
        <f>IF($A13="","",COUNTIFS('Casos de Teste'!$B$5:$B$205,$A13,'Casos de Teste'!$L$5:$L$205,"Aprovado"))</f>
        <v/>
      </c>
      <c r="J13" s="17" t="str">
        <f>IF($A13="","",COUNTIFS('Casos de Teste'!$B$5:$B$205,$A13,'Casos de Teste'!$L$5:$L$205,"Reprovado"))</f>
        <v/>
      </c>
      <c r="K13" s="17" t="str">
        <f>IF($A13="","",IF(H13=0,"Sem casos",IF(J13&gt;0,"Reprovado",IF(I13=H13,"Aprovado",IF(I13+J13+COUNTIFS('Casos de Teste'!$B$5:$B$205,$A13,'Casos de Teste'!$L$5:$L$205,"Bloqueado")=0,"Não iniciado","Em andamento")))))</f>
        <v/>
      </c>
    </row>
    <row r="14" spans="1:11" x14ac:dyDescent="0.25">
      <c r="A14" s="18"/>
      <c r="B14" s="18"/>
      <c r="C14" s="18"/>
      <c r="D14" s="18"/>
      <c r="E14" s="18"/>
      <c r="F14" s="18"/>
      <c r="G14" s="18"/>
      <c r="H14" s="17" t="str">
        <f>IF($A14="","",COUNTIF('Casos de Teste'!$B$5:$B$205,$A14))</f>
        <v/>
      </c>
      <c r="I14" s="17" t="str">
        <f>IF($A14="","",COUNTIFS('Casos de Teste'!$B$5:$B$205,$A14,'Casos de Teste'!$L$5:$L$205,"Aprovado"))</f>
        <v/>
      </c>
      <c r="J14" s="17" t="str">
        <f>IF($A14="","",COUNTIFS('Casos de Teste'!$B$5:$B$205,$A14,'Casos de Teste'!$L$5:$L$205,"Reprovado"))</f>
        <v/>
      </c>
      <c r="K14" s="17" t="str">
        <f>IF($A14="","",IF(H14=0,"Sem casos",IF(J14&gt;0,"Reprovado",IF(I14=H14,"Aprovado",IF(I14+J14+COUNTIFS('Casos de Teste'!$B$5:$B$205,$A14,'Casos de Teste'!$L$5:$L$205,"Bloqueado")=0,"Não iniciado","Em andamento")))))</f>
        <v/>
      </c>
    </row>
    <row r="15" spans="1:11" x14ac:dyDescent="0.25">
      <c r="A15" s="18"/>
      <c r="B15" s="18"/>
      <c r="C15" s="18"/>
      <c r="D15" s="18"/>
      <c r="E15" s="18"/>
      <c r="F15" s="18"/>
      <c r="G15" s="18"/>
      <c r="H15" s="17" t="str">
        <f>IF($A15="","",COUNTIF('Casos de Teste'!$B$5:$B$205,$A15))</f>
        <v/>
      </c>
      <c r="I15" s="17" t="str">
        <f>IF($A15="","",COUNTIFS('Casos de Teste'!$B$5:$B$205,$A15,'Casos de Teste'!$L$5:$L$205,"Aprovado"))</f>
        <v/>
      </c>
      <c r="J15" s="17" t="str">
        <f>IF($A15="","",COUNTIFS('Casos de Teste'!$B$5:$B$205,$A15,'Casos de Teste'!$L$5:$L$205,"Reprovado"))</f>
        <v/>
      </c>
      <c r="K15" s="17" t="str">
        <f>IF($A15="","",IF(H15=0,"Sem casos",IF(J15&gt;0,"Reprovado",IF(I15=H15,"Aprovado",IF(I15+J15+COUNTIFS('Casos de Teste'!$B$5:$B$205,$A15,'Casos de Teste'!$L$5:$L$205,"Bloqueado")=0,"Não iniciado","Em andamento")))))</f>
        <v/>
      </c>
    </row>
    <row r="16" spans="1:11" x14ac:dyDescent="0.25">
      <c r="A16" s="18"/>
      <c r="B16" s="18"/>
      <c r="C16" s="18"/>
      <c r="D16" s="18"/>
      <c r="E16" s="18"/>
      <c r="F16" s="18"/>
      <c r="G16" s="18"/>
      <c r="H16" s="17" t="str">
        <f>IF($A16="","",COUNTIF('Casos de Teste'!$B$5:$B$205,$A16))</f>
        <v/>
      </c>
      <c r="I16" s="17" t="str">
        <f>IF($A16="","",COUNTIFS('Casos de Teste'!$B$5:$B$205,$A16,'Casos de Teste'!$L$5:$L$205,"Aprovado"))</f>
        <v/>
      </c>
      <c r="J16" s="17" t="str">
        <f>IF($A16="","",COUNTIFS('Casos de Teste'!$B$5:$B$205,$A16,'Casos de Teste'!$L$5:$L$205,"Reprovado"))</f>
        <v/>
      </c>
      <c r="K16" s="17" t="str">
        <f>IF($A16="","",IF(H16=0,"Sem casos",IF(J16&gt;0,"Reprovado",IF(I16=H16,"Aprovado",IF(I16+J16+COUNTIFS('Casos de Teste'!$B$5:$B$205,$A16,'Casos de Teste'!$L$5:$L$205,"Bloqueado")=0,"Não iniciado","Em andamento")))))</f>
        <v/>
      </c>
    </row>
    <row r="17" spans="1:11" x14ac:dyDescent="0.25">
      <c r="A17" s="18"/>
      <c r="B17" s="18"/>
      <c r="C17" s="18"/>
      <c r="D17" s="18"/>
      <c r="E17" s="18"/>
      <c r="F17" s="18"/>
      <c r="G17" s="18"/>
      <c r="H17" s="17" t="str">
        <f>IF($A17="","",COUNTIF('Casos de Teste'!$B$5:$B$205,$A17))</f>
        <v/>
      </c>
      <c r="I17" s="17" t="str">
        <f>IF($A17="","",COUNTIFS('Casos de Teste'!$B$5:$B$205,$A17,'Casos de Teste'!$L$5:$L$205,"Aprovado"))</f>
        <v/>
      </c>
      <c r="J17" s="17" t="str">
        <f>IF($A17="","",COUNTIFS('Casos de Teste'!$B$5:$B$205,$A17,'Casos de Teste'!$L$5:$L$205,"Reprovado"))</f>
        <v/>
      </c>
      <c r="K17" s="17" t="str">
        <f>IF($A17="","",IF(H17=0,"Sem casos",IF(J17&gt;0,"Reprovado",IF(I17=H17,"Aprovado",IF(I17+J17+COUNTIFS('Casos de Teste'!$B$5:$B$205,$A17,'Casos de Teste'!$L$5:$L$205,"Bloqueado")=0,"Não iniciado","Em andamento")))))</f>
        <v/>
      </c>
    </row>
    <row r="18" spans="1:11" x14ac:dyDescent="0.25">
      <c r="A18" s="18"/>
      <c r="B18" s="18"/>
      <c r="C18" s="18"/>
      <c r="D18" s="18"/>
      <c r="E18" s="18"/>
      <c r="F18" s="18"/>
      <c r="G18" s="18"/>
      <c r="H18" s="17" t="str">
        <f>IF($A18="","",COUNTIF('Casos de Teste'!$B$5:$B$205,$A18))</f>
        <v/>
      </c>
      <c r="I18" s="17" t="str">
        <f>IF($A18="","",COUNTIFS('Casos de Teste'!$B$5:$B$205,$A18,'Casos de Teste'!$L$5:$L$205,"Aprovado"))</f>
        <v/>
      </c>
      <c r="J18" s="17" t="str">
        <f>IF($A18="","",COUNTIFS('Casos de Teste'!$B$5:$B$205,$A18,'Casos de Teste'!$L$5:$L$205,"Reprovado"))</f>
        <v/>
      </c>
      <c r="K18" s="17" t="str">
        <f>IF($A18="","",IF(H18=0,"Sem casos",IF(J18&gt;0,"Reprovado",IF(I18=H18,"Aprovado",IF(I18+J18+COUNTIFS('Casos de Teste'!$B$5:$B$205,$A18,'Casos de Teste'!$L$5:$L$205,"Bloqueado")=0,"Não iniciado","Em andamento")))))</f>
        <v/>
      </c>
    </row>
    <row r="19" spans="1:11" x14ac:dyDescent="0.25">
      <c r="A19" s="18"/>
      <c r="B19" s="18"/>
      <c r="C19" s="18"/>
      <c r="D19" s="18"/>
      <c r="E19" s="18"/>
      <c r="F19" s="18"/>
      <c r="G19" s="18"/>
      <c r="H19" s="17" t="str">
        <f>IF($A19="","",COUNTIF('Casos de Teste'!$B$5:$B$205,$A19))</f>
        <v/>
      </c>
      <c r="I19" s="17" t="str">
        <f>IF($A19="","",COUNTIFS('Casos de Teste'!$B$5:$B$205,$A19,'Casos de Teste'!$L$5:$L$205,"Aprovado"))</f>
        <v/>
      </c>
      <c r="J19" s="17" t="str">
        <f>IF($A19="","",COUNTIFS('Casos de Teste'!$B$5:$B$205,$A19,'Casos de Teste'!$L$5:$L$205,"Reprovado"))</f>
        <v/>
      </c>
      <c r="K19" s="17" t="str">
        <f>IF($A19="","",IF(H19=0,"Sem casos",IF(J19&gt;0,"Reprovado",IF(I19=H19,"Aprovado",IF(I19+J19+COUNTIFS('Casos de Teste'!$B$5:$B$205,$A19,'Casos de Teste'!$L$5:$L$205,"Bloqueado")=0,"Não iniciado","Em andamento")))))</f>
        <v/>
      </c>
    </row>
    <row r="20" spans="1:11" x14ac:dyDescent="0.25">
      <c r="A20" s="18"/>
      <c r="B20" s="18"/>
      <c r="C20" s="18"/>
      <c r="D20" s="18"/>
      <c r="E20" s="18"/>
      <c r="F20" s="18"/>
      <c r="G20" s="18"/>
      <c r="H20" s="17" t="str">
        <f>IF($A20="","",COUNTIF('Casos de Teste'!$B$5:$B$205,$A20))</f>
        <v/>
      </c>
      <c r="I20" s="17" t="str">
        <f>IF($A20="","",COUNTIFS('Casos de Teste'!$B$5:$B$205,$A20,'Casos de Teste'!$L$5:$L$205,"Aprovado"))</f>
        <v/>
      </c>
      <c r="J20" s="17" t="str">
        <f>IF($A20="","",COUNTIFS('Casos de Teste'!$B$5:$B$205,$A20,'Casos de Teste'!$L$5:$L$205,"Reprovado"))</f>
        <v/>
      </c>
      <c r="K20" s="17" t="str">
        <f>IF($A20="","",IF(H20=0,"Sem casos",IF(J20&gt;0,"Reprovado",IF(I20=H20,"Aprovado",IF(I20+J20+COUNTIFS('Casos de Teste'!$B$5:$B$205,$A20,'Casos de Teste'!$L$5:$L$205,"Bloqueado")=0,"Não iniciado","Em andamento")))))</f>
        <v/>
      </c>
    </row>
    <row r="21" spans="1:11" x14ac:dyDescent="0.25">
      <c r="A21" s="18"/>
      <c r="B21" s="18"/>
      <c r="C21" s="18"/>
      <c r="D21" s="18"/>
      <c r="E21" s="18"/>
      <c r="F21" s="18"/>
      <c r="G21" s="18"/>
      <c r="H21" s="17" t="str">
        <f>IF($A21="","",COUNTIF('Casos de Teste'!$B$5:$B$205,$A21))</f>
        <v/>
      </c>
      <c r="I21" s="17" t="str">
        <f>IF($A21="","",COUNTIFS('Casos de Teste'!$B$5:$B$205,$A21,'Casos de Teste'!$L$5:$L$205,"Aprovado"))</f>
        <v/>
      </c>
      <c r="J21" s="17" t="str">
        <f>IF($A21="","",COUNTIFS('Casos de Teste'!$B$5:$B$205,$A21,'Casos de Teste'!$L$5:$L$205,"Reprovado"))</f>
        <v/>
      </c>
      <c r="K21" s="17" t="str">
        <f>IF($A21="","",IF(H21=0,"Sem casos",IF(J21&gt;0,"Reprovado",IF(I21=H21,"Aprovado",IF(I21+J21+COUNTIFS('Casos de Teste'!$B$5:$B$205,$A21,'Casos de Teste'!$L$5:$L$205,"Bloqueado")=0,"Não iniciado","Em andamento")))))</f>
        <v/>
      </c>
    </row>
    <row r="22" spans="1:11" x14ac:dyDescent="0.25">
      <c r="A22" s="18"/>
      <c r="B22" s="18"/>
      <c r="C22" s="18"/>
      <c r="D22" s="18"/>
      <c r="E22" s="18"/>
      <c r="F22" s="18"/>
      <c r="G22" s="18"/>
      <c r="H22" s="17" t="str">
        <f>IF($A22="","",COUNTIF('Casos de Teste'!$B$5:$B$205,$A22))</f>
        <v/>
      </c>
      <c r="I22" s="17" t="str">
        <f>IF($A22="","",COUNTIFS('Casos de Teste'!$B$5:$B$205,$A22,'Casos de Teste'!$L$5:$L$205,"Aprovado"))</f>
        <v/>
      </c>
      <c r="J22" s="17" t="str">
        <f>IF($A22="","",COUNTIFS('Casos de Teste'!$B$5:$B$205,$A22,'Casos de Teste'!$L$5:$L$205,"Reprovado"))</f>
        <v/>
      </c>
      <c r="K22" s="17" t="str">
        <f>IF($A22="","",IF(H22=0,"Sem casos",IF(J22&gt;0,"Reprovado",IF(I22=H22,"Aprovado",IF(I22+J22+COUNTIFS('Casos de Teste'!$B$5:$B$205,$A22,'Casos de Teste'!$L$5:$L$205,"Bloqueado")=0,"Não iniciado","Em andamento")))))</f>
        <v/>
      </c>
    </row>
    <row r="23" spans="1:11" x14ac:dyDescent="0.25">
      <c r="A23" s="18"/>
      <c r="B23" s="18"/>
      <c r="C23" s="18"/>
      <c r="D23" s="18"/>
      <c r="E23" s="18"/>
      <c r="F23" s="18"/>
      <c r="G23" s="18"/>
      <c r="H23" s="17" t="str">
        <f>IF($A23="","",COUNTIF('Casos de Teste'!$B$5:$B$205,$A23))</f>
        <v/>
      </c>
      <c r="I23" s="17" t="str">
        <f>IF($A23="","",COUNTIFS('Casos de Teste'!$B$5:$B$205,$A23,'Casos de Teste'!$L$5:$L$205,"Aprovado"))</f>
        <v/>
      </c>
      <c r="J23" s="17" t="str">
        <f>IF($A23="","",COUNTIFS('Casos de Teste'!$B$5:$B$205,$A23,'Casos de Teste'!$L$5:$L$205,"Reprovado"))</f>
        <v/>
      </c>
      <c r="K23" s="17" t="str">
        <f>IF($A23="","",IF(H23=0,"Sem casos",IF(J23&gt;0,"Reprovado",IF(I23=H23,"Aprovado",IF(I23+J23+COUNTIFS('Casos de Teste'!$B$5:$B$205,$A23,'Casos de Teste'!$L$5:$L$205,"Bloqueado")=0,"Não iniciado","Em andamento")))))</f>
        <v/>
      </c>
    </row>
    <row r="24" spans="1:11" x14ac:dyDescent="0.25">
      <c r="A24" s="18"/>
      <c r="B24" s="18"/>
      <c r="C24" s="18"/>
      <c r="D24" s="18"/>
      <c r="E24" s="18"/>
      <c r="F24" s="18"/>
      <c r="G24" s="18"/>
      <c r="H24" s="17" t="str">
        <f>IF($A24="","",COUNTIF('Casos de Teste'!$B$5:$B$205,$A24))</f>
        <v/>
      </c>
      <c r="I24" s="17" t="str">
        <f>IF($A24="","",COUNTIFS('Casos de Teste'!$B$5:$B$205,$A24,'Casos de Teste'!$L$5:$L$205,"Aprovado"))</f>
        <v/>
      </c>
      <c r="J24" s="17" t="str">
        <f>IF($A24="","",COUNTIFS('Casos de Teste'!$B$5:$B$205,$A24,'Casos de Teste'!$L$5:$L$205,"Reprovado"))</f>
        <v/>
      </c>
      <c r="K24" s="17" t="str">
        <f>IF($A24="","",IF(H24=0,"Sem casos",IF(J24&gt;0,"Reprovado",IF(I24=H24,"Aprovado",IF(I24+J24+COUNTIFS('Casos de Teste'!$B$5:$B$205,$A24,'Casos de Teste'!$L$5:$L$205,"Bloqueado")=0,"Não iniciado","Em andamento")))))</f>
        <v/>
      </c>
    </row>
    <row r="25" spans="1:11" x14ac:dyDescent="0.25">
      <c r="A25" s="18"/>
      <c r="B25" s="18"/>
      <c r="C25" s="18"/>
      <c r="D25" s="18"/>
      <c r="E25" s="18"/>
      <c r="F25" s="18"/>
      <c r="G25" s="18"/>
      <c r="H25" s="17" t="str">
        <f>IF($A25="","",COUNTIF('Casos de Teste'!$B$5:$B$205,$A25))</f>
        <v/>
      </c>
      <c r="I25" s="17" t="str">
        <f>IF($A25="","",COUNTIFS('Casos de Teste'!$B$5:$B$205,$A25,'Casos de Teste'!$L$5:$L$205,"Aprovado"))</f>
        <v/>
      </c>
      <c r="J25" s="17" t="str">
        <f>IF($A25="","",COUNTIFS('Casos de Teste'!$B$5:$B$205,$A25,'Casos de Teste'!$L$5:$L$205,"Reprovado"))</f>
        <v/>
      </c>
      <c r="K25" s="17" t="str">
        <f>IF($A25="","",IF(H25=0,"Sem casos",IF(J25&gt;0,"Reprovado",IF(I25=H25,"Aprovado",IF(I25+J25+COUNTIFS('Casos de Teste'!$B$5:$B$205,$A25,'Casos de Teste'!$L$5:$L$205,"Bloqueado")=0,"Não iniciado","Em andamento")))))</f>
        <v/>
      </c>
    </row>
    <row r="26" spans="1:11" x14ac:dyDescent="0.25">
      <c r="A26" s="18"/>
      <c r="B26" s="18"/>
      <c r="C26" s="18"/>
      <c r="D26" s="18"/>
      <c r="E26" s="18"/>
      <c r="F26" s="18"/>
      <c r="G26" s="18"/>
      <c r="H26" s="17" t="str">
        <f>IF($A26="","",COUNTIF('Casos de Teste'!$B$5:$B$205,$A26))</f>
        <v/>
      </c>
      <c r="I26" s="17" t="str">
        <f>IF($A26="","",COUNTIFS('Casos de Teste'!$B$5:$B$205,$A26,'Casos de Teste'!$L$5:$L$205,"Aprovado"))</f>
        <v/>
      </c>
      <c r="J26" s="17" t="str">
        <f>IF($A26="","",COUNTIFS('Casos de Teste'!$B$5:$B$205,$A26,'Casos de Teste'!$L$5:$L$205,"Reprovado"))</f>
        <v/>
      </c>
      <c r="K26" s="17" t="str">
        <f>IF($A26="","",IF(H26=0,"Sem casos",IF(J26&gt;0,"Reprovado",IF(I26=H26,"Aprovado",IF(I26+J26+COUNTIFS('Casos de Teste'!$B$5:$B$205,$A26,'Casos de Teste'!$L$5:$L$205,"Bloqueado")=0,"Não iniciado","Em andamento")))))</f>
        <v/>
      </c>
    </row>
    <row r="27" spans="1:11" x14ac:dyDescent="0.25">
      <c r="A27" s="18"/>
      <c r="B27" s="18"/>
      <c r="C27" s="18"/>
      <c r="D27" s="18"/>
      <c r="E27" s="18"/>
      <c r="F27" s="18"/>
      <c r="G27" s="18"/>
      <c r="H27" s="17" t="str">
        <f>IF($A27="","",COUNTIF('Casos de Teste'!$B$5:$B$205,$A27))</f>
        <v/>
      </c>
      <c r="I27" s="17" t="str">
        <f>IF($A27="","",COUNTIFS('Casos de Teste'!$B$5:$B$205,$A27,'Casos de Teste'!$L$5:$L$205,"Aprovado"))</f>
        <v/>
      </c>
      <c r="J27" s="17" t="str">
        <f>IF($A27="","",COUNTIFS('Casos de Teste'!$B$5:$B$205,$A27,'Casos de Teste'!$L$5:$L$205,"Reprovado"))</f>
        <v/>
      </c>
      <c r="K27" s="17" t="str">
        <f>IF($A27="","",IF(H27=0,"Sem casos",IF(J27&gt;0,"Reprovado",IF(I27=H27,"Aprovado",IF(I27+J27+COUNTIFS('Casos de Teste'!$B$5:$B$205,$A27,'Casos de Teste'!$L$5:$L$205,"Bloqueado")=0,"Não iniciado","Em andamento")))))</f>
        <v/>
      </c>
    </row>
    <row r="28" spans="1:11" x14ac:dyDescent="0.25">
      <c r="A28" s="18"/>
      <c r="B28" s="18"/>
      <c r="C28" s="18"/>
      <c r="D28" s="18"/>
      <c r="E28" s="18"/>
      <c r="F28" s="18"/>
      <c r="G28" s="18"/>
      <c r="H28" s="17" t="str">
        <f>IF($A28="","",COUNTIF('Casos de Teste'!$B$5:$B$205,$A28))</f>
        <v/>
      </c>
      <c r="I28" s="17" t="str">
        <f>IF($A28="","",COUNTIFS('Casos de Teste'!$B$5:$B$205,$A28,'Casos de Teste'!$L$5:$L$205,"Aprovado"))</f>
        <v/>
      </c>
      <c r="J28" s="17" t="str">
        <f>IF($A28="","",COUNTIFS('Casos de Teste'!$B$5:$B$205,$A28,'Casos de Teste'!$L$5:$L$205,"Reprovado"))</f>
        <v/>
      </c>
      <c r="K28" s="17" t="str">
        <f>IF($A28="","",IF(H28=0,"Sem casos",IF(J28&gt;0,"Reprovado",IF(I28=H28,"Aprovado",IF(I28+J28+COUNTIFS('Casos de Teste'!$B$5:$B$205,$A28,'Casos de Teste'!$L$5:$L$205,"Bloqueado")=0,"Não iniciado","Em andamento")))))</f>
        <v/>
      </c>
    </row>
    <row r="29" spans="1:11" x14ac:dyDescent="0.25">
      <c r="A29" s="18"/>
      <c r="B29" s="18"/>
      <c r="C29" s="18"/>
      <c r="D29" s="18"/>
      <c r="E29" s="18"/>
      <c r="F29" s="18"/>
      <c r="G29" s="18"/>
      <c r="H29" s="17" t="str">
        <f>IF($A29="","",COUNTIF('Casos de Teste'!$B$5:$B$205,$A29))</f>
        <v/>
      </c>
      <c r="I29" s="17" t="str">
        <f>IF($A29="","",COUNTIFS('Casos de Teste'!$B$5:$B$205,$A29,'Casos de Teste'!$L$5:$L$205,"Aprovado"))</f>
        <v/>
      </c>
      <c r="J29" s="17" t="str">
        <f>IF($A29="","",COUNTIFS('Casos de Teste'!$B$5:$B$205,$A29,'Casos de Teste'!$L$5:$L$205,"Reprovado"))</f>
        <v/>
      </c>
      <c r="K29" s="17" t="str">
        <f>IF($A29="","",IF(H29=0,"Sem casos",IF(J29&gt;0,"Reprovado",IF(I29=H29,"Aprovado",IF(I29+J29+COUNTIFS('Casos de Teste'!$B$5:$B$205,$A29,'Casos de Teste'!$L$5:$L$205,"Bloqueado")=0,"Não iniciado","Em andamento")))))</f>
        <v/>
      </c>
    </row>
    <row r="30" spans="1:11" x14ac:dyDescent="0.25">
      <c r="A30" s="18"/>
      <c r="B30" s="18"/>
      <c r="C30" s="18"/>
      <c r="D30" s="18"/>
      <c r="E30" s="18"/>
      <c r="F30" s="18"/>
      <c r="G30" s="18"/>
      <c r="H30" s="17" t="str">
        <f>IF($A30="","",COUNTIF('Casos de Teste'!$B$5:$B$205,$A30))</f>
        <v/>
      </c>
      <c r="I30" s="17" t="str">
        <f>IF($A30="","",COUNTIFS('Casos de Teste'!$B$5:$B$205,$A30,'Casos de Teste'!$L$5:$L$205,"Aprovado"))</f>
        <v/>
      </c>
      <c r="J30" s="17" t="str">
        <f>IF($A30="","",COUNTIFS('Casos de Teste'!$B$5:$B$205,$A30,'Casos de Teste'!$L$5:$L$205,"Reprovado"))</f>
        <v/>
      </c>
      <c r="K30" s="17" t="str">
        <f>IF($A30="","",IF(H30=0,"Sem casos",IF(J30&gt;0,"Reprovado",IF(I30=H30,"Aprovado",IF(I30+J30+COUNTIFS('Casos de Teste'!$B$5:$B$205,$A30,'Casos de Teste'!$L$5:$L$205,"Bloqueado")=0,"Não iniciado","Em andamento")))))</f>
        <v/>
      </c>
    </row>
    <row r="31" spans="1:11" x14ac:dyDescent="0.25">
      <c r="A31" s="18"/>
      <c r="B31" s="18"/>
      <c r="C31" s="18"/>
      <c r="D31" s="18"/>
      <c r="E31" s="18"/>
      <c r="F31" s="18"/>
      <c r="G31" s="18"/>
      <c r="H31" s="17" t="str">
        <f>IF($A31="","",COUNTIF('Casos de Teste'!$B$5:$B$205,$A31))</f>
        <v/>
      </c>
      <c r="I31" s="17" t="str">
        <f>IF($A31="","",COUNTIFS('Casos de Teste'!$B$5:$B$205,$A31,'Casos de Teste'!$L$5:$L$205,"Aprovado"))</f>
        <v/>
      </c>
      <c r="J31" s="17" t="str">
        <f>IF($A31="","",COUNTIFS('Casos de Teste'!$B$5:$B$205,$A31,'Casos de Teste'!$L$5:$L$205,"Reprovado"))</f>
        <v/>
      </c>
      <c r="K31" s="17" t="str">
        <f>IF($A31="","",IF(H31=0,"Sem casos",IF(J31&gt;0,"Reprovado",IF(I31=H31,"Aprovado",IF(I31+J31+COUNTIFS('Casos de Teste'!$B$5:$B$205,$A31,'Casos de Teste'!$L$5:$L$205,"Bloqueado")=0,"Não iniciado","Em andamento")))))</f>
        <v/>
      </c>
    </row>
    <row r="32" spans="1:11" x14ac:dyDescent="0.25">
      <c r="A32" s="18"/>
      <c r="B32" s="18"/>
      <c r="C32" s="18"/>
      <c r="D32" s="18"/>
      <c r="E32" s="18"/>
      <c r="F32" s="18"/>
      <c r="G32" s="18"/>
      <c r="H32" s="17" t="str">
        <f>IF($A32="","",COUNTIF('Casos de Teste'!$B$5:$B$205,$A32))</f>
        <v/>
      </c>
      <c r="I32" s="17" t="str">
        <f>IF($A32="","",COUNTIFS('Casos de Teste'!$B$5:$B$205,$A32,'Casos de Teste'!$L$5:$L$205,"Aprovado"))</f>
        <v/>
      </c>
      <c r="J32" s="17" t="str">
        <f>IF($A32="","",COUNTIFS('Casos de Teste'!$B$5:$B$205,$A32,'Casos de Teste'!$L$5:$L$205,"Reprovado"))</f>
        <v/>
      </c>
      <c r="K32" s="17" t="str">
        <f>IF($A32="","",IF(H32=0,"Sem casos",IF(J32&gt;0,"Reprovado",IF(I32=H32,"Aprovado",IF(I32+J32+COUNTIFS('Casos de Teste'!$B$5:$B$205,$A32,'Casos de Teste'!$L$5:$L$205,"Bloqueado")=0,"Não iniciado","Em andamento")))))</f>
        <v/>
      </c>
    </row>
    <row r="33" spans="1:11" x14ac:dyDescent="0.25">
      <c r="A33" s="18"/>
      <c r="B33" s="18"/>
      <c r="C33" s="18"/>
      <c r="D33" s="18"/>
      <c r="E33" s="18"/>
      <c r="F33" s="18"/>
      <c r="G33" s="18"/>
      <c r="H33" s="17" t="str">
        <f>IF($A33="","",COUNTIF('Casos de Teste'!$B$5:$B$205,$A33))</f>
        <v/>
      </c>
      <c r="I33" s="17" t="str">
        <f>IF($A33="","",COUNTIFS('Casos de Teste'!$B$5:$B$205,$A33,'Casos de Teste'!$L$5:$L$205,"Aprovado"))</f>
        <v/>
      </c>
      <c r="J33" s="17" t="str">
        <f>IF($A33="","",COUNTIFS('Casos de Teste'!$B$5:$B$205,$A33,'Casos de Teste'!$L$5:$L$205,"Reprovado"))</f>
        <v/>
      </c>
      <c r="K33" s="17" t="str">
        <f>IF($A33="","",IF(H33=0,"Sem casos",IF(J33&gt;0,"Reprovado",IF(I33=H33,"Aprovado",IF(I33+J33+COUNTIFS('Casos de Teste'!$B$5:$B$205,$A33,'Casos de Teste'!$L$5:$L$205,"Bloqueado")=0,"Não iniciado","Em andamento")))))</f>
        <v/>
      </c>
    </row>
    <row r="34" spans="1:11" x14ac:dyDescent="0.25">
      <c r="A34" s="18"/>
      <c r="B34" s="18"/>
      <c r="C34" s="18"/>
      <c r="D34" s="18"/>
      <c r="E34" s="18"/>
      <c r="F34" s="18"/>
      <c r="G34" s="18"/>
      <c r="H34" s="17" t="str">
        <f>IF($A34="","",COUNTIF('Casos de Teste'!$B$5:$B$205,$A34))</f>
        <v/>
      </c>
      <c r="I34" s="17" t="str">
        <f>IF($A34="","",COUNTIFS('Casos de Teste'!$B$5:$B$205,$A34,'Casos de Teste'!$L$5:$L$205,"Aprovado"))</f>
        <v/>
      </c>
      <c r="J34" s="17" t="str">
        <f>IF($A34="","",COUNTIFS('Casos de Teste'!$B$5:$B$205,$A34,'Casos de Teste'!$L$5:$L$205,"Reprovado"))</f>
        <v/>
      </c>
      <c r="K34" s="17" t="str">
        <f>IF($A34="","",IF(H34=0,"Sem casos",IF(J34&gt;0,"Reprovado",IF(I34=H34,"Aprovado",IF(I34+J34+COUNTIFS('Casos de Teste'!$B$5:$B$205,$A34,'Casos de Teste'!$L$5:$L$205,"Bloqueado")=0,"Não iniciado","Em andamento")))))</f>
        <v/>
      </c>
    </row>
    <row r="35" spans="1:11" x14ac:dyDescent="0.25">
      <c r="A35" s="18"/>
      <c r="B35" s="18"/>
      <c r="C35" s="18"/>
      <c r="D35" s="18"/>
      <c r="E35" s="18"/>
      <c r="F35" s="18"/>
      <c r="G35" s="18"/>
      <c r="H35" s="17" t="str">
        <f>IF($A35="","",COUNTIF('Casos de Teste'!$B$5:$B$205,$A35))</f>
        <v/>
      </c>
      <c r="I35" s="17" t="str">
        <f>IF($A35="","",COUNTIFS('Casos de Teste'!$B$5:$B$205,$A35,'Casos de Teste'!$L$5:$L$205,"Aprovado"))</f>
        <v/>
      </c>
      <c r="J35" s="17" t="str">
        <f>IF($A35="","",COUNTIFS('Casos de Teste'!$B$5:$B$205,$A35,'Casos de Teste'!$L$5:$L$205,"Reprovado"))</f>
        <v/>
      </c>
      <c r="K35" s="17" t="str">
        <f>IF($A35="","",IF(H35=0,"Sem casos",IF(J35&gt;0,"Reprovado",IF(I35=H35,"Aprovado",IF(I35+J35+COUNTIFS('Casos de Teste'!$B$5:$B$205,$A35,'Casos de Teste'!$L$5:$L$205,"Bloqueado")=0,"Não iniciado","Em andamento")))))</f>
        <v/>
      </c>
    </row>
    <row r="36" spans="1:11" x14ac:dyDescent="0.25">
      <c r="A36" s="18"/>
      <c r="B36" s="18"/>
      <c r="C36" s="18"/>
      <c r="D36" s="18"/>
      <c r="E36" s="18"/>
      <c r="F36" s="18"/>
      <c r="G36" s="18"/>
      <c r="H36" s="17" t="str">
        <f>IF($A36="","",COUNTIF('Casos de Teste'!$B$5:$B$205,$A36))</f>
        <v/>
      </c>
      <c r="I36" s="17" t="str">
        <f>IF($A36="","",COUNTIFS('Casos de Teste'!$B$5:$B$205,$A36,'Casos de Teste'!$L$5:$L$205,"Aprovado"))</f>
        <v/>
      </c>
      <c r="J36" s="17" t="str">
        <f>IF($A36="","",COUNTIFS('Casos de Teste'!$B$5:$B$205,$A36,'Casos de Teste'!$L$5:$L$205,"Reprovado"))</f>
        <v/>
      </c>
      <c r="K36" s="17" t="str">
        <f>IF($A36="","",IF(H36=0,"Sem casos",IF(J36&gt;0,"Reprovado",IF(I36=H36,"Aprovado",IF(I36+J36+COUNTIFS('Casos de Teste'!$B$5:$B$205,$A36,'Casos de Teste'!$L$5:$L$205,"Bloqueado")=0,"Não iniciado","Em andamento")))))</f>
        <v/>
      </c>
    </row>
    <row r="37" spans="1:11" x14ac:dyDescent="0.25">
      <c r="A37" s="18"/>
      <c r="B37" s="18"/>
      <c r="C37" s="18"/>
      <c r="D37" s="18"/>
      <c r="E37" s="18"/>
      <c r="F37" s="18"/>
      <c r="G37" s="18"/>
      <c r="H37" s="17" t="str">
        <f>IF($A37="","",COUNTIF('Casos de Teste'!$B$5:$B$205,$A37))</f>
        <v/>
      </c>
      <c r="I37" s="17" t="str">
        <f>IF($A37="","",COUNTIFS('Casos de Teste'!$B$5:$B$205,$A37,'Casos de Teste'!$L$5:$L$205,"Aprovado"))</f>
        <v/>
      </c>
      <c r="J37" s="17" t="str">
        <f>IF($A37="","",COUNTIFS('Casos de Teste'!$B$5:$B$205,$A37,'Casos de Teste'!$L$5:$L$205,"Reprovado"))</f>
        <v/>
      </c>
      <c r="K37" s="17" t="str">
        <f>IF($A37="","",IF(H37=0,"Sem casos",IF(J37&gt;0,"Reprovado",IF(I37=H37,"Aprovado",IF(I37+J37+COUNTIFS('Casos de Teste'!$B$5:$B$205,$A37,'Casos de Teste'!$L$5:$L$205,"Bloqueado")=0,"Não iniciado","Em andamento")))))</f>
        <v/>
      </c>
    </row>
    <row r="38" spans="1:11" x14ac:dyDescent="0.25">
      <c r="A38" s="18"/>
      <c r="B38" s="18"/>
      <c r="C38" s="18"/>
      <c r="D38" s="18"/>
      <c r="E38" s="18"/>
      <c r="F38" s="18"/>
      <c r="G38" s="18"/>
      <c r="H38" s="17" t="str">
        <f>IF($A38="","",COUNTIF('Casos de Teste'!$B$5:$B$205,$A38))</f>
        <v/>
      </c>
      <c r="I38" s="17" t="str">
        <f>IF($A38="","",COUNTIFS('Casos de Teste'!$B$5:$B$205,$A38,'Casos de Teste'!$L$5:$L$205,"Aprovado"))</f>
        <v/>
      </c>
      <c r="J38" s="17" t="str">
        <f>IF($A38="","",COUNTIFS('Casos de Teste'!$B$5:$B$205,$A38,'Casos de Teste'!$L$5:$L$205,"Reprovado"))</f>
        <v/>
      </c>
      <c r="K38" s="17" t="str">
        <f>IF($A38="","",IF(H38=0,"Sem casos",IF(J38&gt;0,"Reprovado",IF(I38=H38,"Aprovado",IF(I38+J38+COUNTIFS('Casos de Teste'!$B$5:$B$205,$A38,'Casos de Teste'!$L$5:$L$205,"Bloqueado")=0,"Não iniciado","Em andamento")))))</f>
        <v/>
      </c>
    </row>
    <row r="39" spans="1:11" x14ac:dyDescent="0.25">
      <c r="A39" s="18"/>
      <c r="B39" s="18"/>
      <c r="C39" s="18"/>
      <c r="D39" s="18"/>
      <c r="E39" s="18"/>
      <c r="F39" s="18"/>
      <c r="G39" s="18"/>
      <c r="H39" s="17" t="str">
        <f>IF($A39="","",COUNTIF('Casos de Teste'!$B$5:$B$205,$A39))</f>
        <v/>
      </c>
      <c r="I39" s="17" t="str">
        <f>IF($A39="","",COUNTIFS('Casos de Teste'!$B$5:$B$205,$A39,'Casos de Teste'!$L$5:$L$205,"Aprovado"))</f>
        <v/>
      </c>
      <c r="J39" s="17" t="str">
        <f>IF($A39="","",COUNTIFS('Casos de Teste'!$B$5:$B$205,$A39,'Casos de Teste'!$L$5:$L$205,"Reprovado"))</f>
        <v/>
      </c>
      <c r="K39" s="17" t="str">
        <f>IF($A39="","",IF(H39=0,"Sem casos",IF(J39&gt;0,"Reprovado",IF(I39=H39,"Aprovado",IF(I39+J39+COUNTIFS('Casos de Teste'!$B$5:$B$205,$A39,'Casos de Teste'!$L$5:$L$205,"Bloqueado")=0,"Não iniciado","Em andamento")))))</f>
        <v/>
      </c>
    </row>
    <row r="40" spans="1:11" x14ac:dyDescent="0.25">
      <c r="A40" s="18"/>
      <c r="B40" s="18"/>
      <c r="C40" s="18"/>
      <c r="D40" s="18"/>
      <c r="E40" s="18"/>
      <c r="F40" s="18"/>
      <c r="G40" s="18"/>
      <c r="H40" s="17" t="str">
        <f>IF($A40="","",COUNTIF('Casos de Teste'!$B$5:$B$205,$A40))</f>
        <v/>
      </c>
      <c r="I40" s="17" t="str">
        <f>IF($A40="","",COUNTIFS('Casos de Teste'!$B$5:$B$205,$A40,'Casos de Teste'!$L$5:$L$205,"Aprovado"))</f>
        <v/>
      </c>
      <c r="J40" s="17" t="str">
        <f>IF($A40="","",COUNTIFS('Casos de Teste'!$B$5:$B$205,$A40,'Casos de Teste'!$L$5:$L$205,"Reprovado"))</f>
        <v/>
      </c>
      <c r="K40" s="17" t="str">
        <f>IF($A40="","",IF(H40=0,"Sem casos",IF(J40&gt;0,"Reprovado",IF(I40=H40,"Aprovado",IF(I40+J40+COUNTIFS('Casos de Teste'!$B$5:$B$205,$A40,'Casos de Teste'!$L$5:$L$205,"Bloqueado")=0,"Não iniciado","Em andamento")))))</f>
        <v/>
      </c>
    </row>
    <row r="41" spans="1:11" x14ac:dyDescent="0.25">
      <c r="A41" s="18"/>
      <c r="B41" s="18"/>
      <c r="C41" s="18"/>
      <c r="D41" s="18"/>
      <c r="E41" s="18"/>
      <c r="F41" s="18"/>
      <c r="G41" s="18"/>
      <c r="H41" s="17" t="str">
        <f>IF($A41="","",COUNTIF('Casos de Teste'!$B$5:$B$205,$A41))</f>
        <v/>
      </c>
      <c r="I41" s="17" t="str">
        <f>IF($A41="","",COUNTIFS('Casos de Teste'!$B$5:$B$205,$A41,'Casos de Teste'!$L$5:$L$205,"Aprovado"))</f>
        <v/>
      </c>
      <c r="J41" s="17" t="str">
        <f>IF($A41="","",COUNTIFS('Casos de Teste'!$B$5:$B$205,$A41,'Casos de Teste'!$L$5:$L$205,"Reprovado"))</f>
        <v/>
      </c>
      <c r="K41" s="17" t="str">
        <f>IF($A41="","",IF(H41=0,"Sem casos",IF(J41&gt;0,"Reprovado",IF(I41=H41,"Aprovado",IF(I41+J41+COUNTIFS('Casos de Teste'!$B$5:$B$205,$A41,'Casos de Teste'!$L$5:$L$205,"Bloqueado")=0,"Não iniciado","Em andamento")))))</f>
        <v/>
      </c>
    </row>
    <row r="42" spans="1:11" x14ac:dyDescent="0.25">
      <c r="A42" s="18"/>
      <c r="B42" s="18"/>
      <c r="C42" s="18"/>
      <c r="D42" s="18"/>
      <c r="E42" s="18"/>
      <c r="F42" s="18"/>
      <c r="G42" s="18"/>
      <c r="H42" s="17" t="str">
        <f>IF($A42="","",COUNTIF('Casos de Teste'!$B$5:$B$205,$A42))</f>
        <v/>
      </c>
      <c r="I42" s="17" t="str">
        <f>IF($A42="","",COUNTIFS('Casos de Teste'!$B$5:$B$205,$A42,'Casos de Teste'!$L$5:$L$205,"Aprovado"))</f>
        <v/>
      </c>
      <c r="J42" s="17" t="str">
        <f>IF($A42="","",COUNTIFS('Casos de Teste'!$B$5:$B$205,$A42,'Casos de Teste'!$L$5:$L$205,"Reprovado"))</f>
        <v/>
      </c>
      <c r="K42" s="17" t="str">
        <f>IF($A42="","",IF(H42=0,"Sem casos",IF(J42&gt;0,"Reprovado",IF(I42=H42,"Aprovado",IF(I42+J42+COUNTIFS('Casos de Teste'!$B$5:$B$205,$A42,'Casos de Teste'!$L$5:$L$205,"Bloqueado")=0,"Não iniciado","Em andamento")))))</f>
        <v/>
      </c>
    </row>
    <row r="43" spans="1:11" x14ac:dyDescent="0.25">
      <c r="A43" s="18"/>
      <c r="B43" s="18"/>
      <c r="C43" s="18"/>
      <c r="D43" s="18"/>
      <c r="E43" s="18"/>
      <c r="F43" s="18"/>
      <c r="G43" s="18"/>
      <c r="H43" s="17" t="str">
        <f>IF($A43="","",COUNTIF('Casos de Teste'!$B$5:$B$205,$A43))</f>
        <v/>
      </c>
      <c r="I43" s="17" t="str">
        <f>IF($A43="","",COUNTIFS('Casos de Teste'!$B$5:$B$205,$A43,'Casos de Teste'!$L$5:$L$205,"Aprovado"))</f>
        <v/>
      </c>
      <c r="J43" s="17" t="str">
        <f>IF($A43="","",COUNTIFS('Casos de Teste'!$B$5:$B$205,$A43,'Casos de Teste'!$L$5:$L$205,"Reprovado"))</f>
        <v/>
      </c>
      <c r="K43" s="17" t="str">
        <f>IF($A43="","",IF(H43=0,"Sem casos",IF(J43&gt;0,"Reprovado",IF(I43=H43,"Aprovado",IF(I43+J43+COUNTIFS('Casos de Teste'!$B$5:$B$205,$A43,'Casos de Teste'!$L$5:$L$205,"Bloqueado")=0,"Não iniciado","Em andamento")))))</f>
        <v/>
      </c>
    </row>
    <row r="44" spans="1:11" x14ac:dyDescent="0.25">
      <c r="A44" s="18"/>
      <c r="B44" s="18"/>
      <c r="C44" s="18"/>
      <c r="D44" s="18"/>
      <c r="E44" s="18"/>
      <c r="F44" s="18"/>
      <c r="G44" s="18"/>
      <c r="H44" s="17" t="str">
        <f>IF($A44="","",COUNTIF('Casos de Teste'!$B$5:$B$205,$A44))</f>
        <v/>
      </c>
      <c r="I44" s="17" t="str">
        <f>IF($A44="","",COUNTIFS('Casos de Teste'!$B$5:$B$205,$A44,'Casos de Teste'!$L$5:$L$205,"Aprovado"))</f>
        <v/>
      </c>
      <c r="J44" s="17" t="str">
        <f>IF($A44="","",COUNTIFS('Casos de Teste'!$B$5:$B$205,$A44,'Casos de Teste'!$L$5:$L$205,"Reprovado"))</f>
        <v/>
      </c>
      <c r="K44" s="17" t="str">
        <f>IF($A44="","",IF(H44=0,"Sem casos",IF(J44&gt;0,"Reprovado",IF(I44=H44,"Aprovado",IF(I44+J44+COUNTIFS('Casos de Teste'!$B$5:$B$205,$A44,'Casos de Teste'!$L$5:$L$205,"Bloqueado")=0,"Não iniciado","Em andamento")))))</f>
        <v/>
      </c>
    </row>
    <row r="45" spans="1:11" x14ac:dyDescent="0.25">
      <c r="A45" s="18"/>
      <c r="B45" s="18"/>
      <c r="C45" s="18"/>
      <c r="D45" s="18"/>
      <c r="E45" s="18"/>
      <c r="F45" s="18"/>
      <c r="G45" s="18"/>
      <c r="H45" s="17" t="str">
        <f>IF($A45="","",COUNTIF('Casos de Teste'!$B$5:$B$205,$A45))</f>
        <v/>
      </c>
      <c r="I45" s="17" t="str">
        <f>IF($A45="","",COUNTIFS('Casos de Teste'!$B$5:$B$205,$A45,'Casos de Teste'!$L$5:$L$205,"Aprovado"))</f>
        <v/>
      </c>
      <c r="J45" s="17" t="str">
        <f>IF($A45="","",COUNTIFS('Casos de Teste'!$B$5:$B$205,$A45,'Casos de Teste'!$L$5:$L$205,"Reprovado"))</f>
        <v/>
      </c>
      <c r="K45" s="17" t="str">
        <f>IF($A45="","",IF(H45=0,"Sem casos",IF(J45&gt;0,"Reprovado",IF(I45=H45,"Aprovado",IF(I45+J45+COUNTIFS('Casos de Teste'!$B$5:$B$205,$A45,'Casos de Teste'!$L$5:$L$205,"Bloqueado")=0,"Não iniciado","Em andamento")))))</f>
        <v/>
      </c>
    </row>
    <row r="46" spans="1:11" x14ac:dyDescent="0.25">
      <c r="A46" s="18"/>
      <c r="B46" s="18"/>
      <c r="C46" s="18"/>
      <c r="D46" s="18"/>
      <c r="E46" s="18"/>
      <c r="F46" s="18"/>
      <c r="G46" s="18"/>
      <c r="H46" s="17" t="str">
        <f>IF($A46="","",COUNTIF('Casos de Teste'!$B$5:$B$205,$A46))</f>
        <v/>
      </c>
      <c r="I46" s="17" t="str">
        <f>IF($A46="","",COUNTIFS('Casos de Teste'!$B$5:$B$205,$A46,'Casos de Teste'!$L$5:$L$205,"Aprovado"))</f>
        <v/>
      </c>
      <c r="J46" s="17" t="str">
        <f>IF($A46="","",COUNTIFS('Casos de Teste'!$B$5:$B$205,$A46,'Casos de Teste'!$L$5:$L$205,"Reprovado"))</f>
        <v/>
      </c>
      <c r="K46" s="17" t="str">
        <f>IF($A46="","",IF(H46=0,"Sem casos",IF(J46&gt;0,"Reprovado",IF(I46=H46,"Aprovado",IF(I46+J46+COUNTIFS('Casos de Teste'!$B$5:$B$205,$A46,'Casos de Teste'!$L$5:$L$205,"Bloqueado")=0,"Não iniciado","Em andamento")))))</f>
        <v/>
      </c>
    </row>
    <row r="47" spans="1:11" x14ac:dyDescent="0.25">
      <c r="A47" s="18"/>
      <c r="B47" s="18"/>
      <c r="C47" s="18"/>
      <c r="D47" s="18"/>
      <c r="E47" s="18"/>
      <c r="F47" s="18"/>
      <c r="G47" s="18"/>
      <c r="H47" s="17" t="str">
        <f>IF($A47="","",COUNTIF('Casos de Teste'!$B$5:$B$205,$A47))</f>
        <v/>
      </c>
      <c r="I47" s="17" t="str">
        <f>IF($A47="","",COUNTIFS('Casos de Teste'!$B$5:$B$205,$A47,'Casos de Teste'!$L$5:$L$205,"Aprovado"))</f>
        <v/>
      </c>
      <c r="J47" s="17" t="str">
        <f>IF($A47="","",COUNTIFS('Casos de Teste'!$B$5:$B$205,$A47,'Casos de Teste'!$L$5:$L$205,"Reprovado"))</f>
        <v/>
      </c>
      <c r="K47" s="17" t="str">
        <f>IF($A47="","",IF(H47=0,"Sem casos",IF(J47&gt;0,"Reprovado",IF(I47=H47,"Aprovado",IF(I47+J47+COUNTIFS('Casos de Teste'!$B$5:$B$205,$A47,'Casos de Teste'!$L$5:$L$205,"Bloqueado")=0,"Não iniciado","Em andamento")))))</f>
        <v/>
      </c>
    </row>
    <row r="48" spans="1:11" x14ac:dyDescent="0.25">
      <c r="A48" s="18"/>
      <c r="B48" s="18"/>
      <c r="C48" s="18"/>
      <c r="D48" s="18"/>
      <c r="E48" s="18"/>
      <c r="F48" s="18"/>
      <c r="G48" s="18"/>
      <c r="H48" s="17" t="str">
        <f>IF($A48="","",COUNTIF('Casos de Teste'!$B$5:$B$205,$A48))</f>
        <v/>
      </c>
      <c r="I48" s="17" t="str">
        <f>IF($A48="","",COUNTIFS('Casos de Teste'!$B$5:$B$205,$A48,'Casos de Teste'!$L$5:$L$205,"Aprovado"))</f>
        <v/>
      </c>
      <c r="J48" s="17" t="str">
        <f>IF($A48="","",COUNTIFS('Casos de Teste'!$B$5:$B$205,$A48,'Casos de Teste'!$L$5:$L$205,"Reprovado"))</f>
        <v/>
      </c>
      <c r="K48" s="17" t="str">
        <f>IF($A48="","",IF(H48=0,"Sem casos",IF(J48&gt;0,"Reprovado",IF(I48=H48,"Aprovado",IF(I48+J48+COUNTIFS('Casos de Teste'!$B$5:$B$205,$A48,'Casos de Teste'!$L$5:$L$205,"Bloqueado")=0,"Não iniciado","Em andamento")))))</f>
        <v/>
      </c>
    </row>
    <row r="49" spans="1:11" x14ac:dyDescent="0.25">
      <c r="A49" s="18"/>
      <c r="B49" s="18"/>
      <c r="C49" s="18"/>
      <c r="D49" s="18"/>
      <c r="E49" s="18"/>
      <c r="F49" s="18"/>
      <c r="G49" s="18"/>
      <c r="H49" s="17" t="str">
        <f>IF($A49="","",COUNTIF('Casos de Teste'!$B$5:$B$205,$A49))</f>
        <v/>
      </c>
      <c r="I49" s="17" t="str">
        <f>IF($A49="","",COUNTIFS('Casos de Teste'!$B$5:$B$205,$A49,'Casos de Teste'!$L$5:$L$205,"Aprovado"))</f>
        <v/>
      </c>
      <c r="J49" s="17" t="str">
        <f>IF($A49="","",COUNTIFS('Casos de Teste'!$B$5:$B$205,$A49,'Casos de Teste'!$L$5:$L$205,"Reprovado"))</f>
        <v/>
      </c>
      <c r="K49" s="17" t="str">
        <f>IF($A49="","",IF(H49=0,"Sem casos",IF(J49&gt;0,"Reprovado",IF(I49=H49,"Aprovado",IF(I49+J49+COUNTIFS('Casos de Teste'!$B$5:$B$205,$A49,'Casos de Teste'!$L$5:$L$205,"Bloqueado")=0,"Não iniciado","Em andamento")))))</f>
        <v/>
      </c>
    </row>
    <row r="50" spans="1:11" x14ac:dyDescent="0.25">
      <c r="A50" s="18"/>
      <c r="B50" s="18"/>
      <c r="C50" s="18"/>
      <c r="D50" s="18"/>
      <c r="E50" s="18"/>
      <c r="F50" s="18"/>
      <c r="G50" s="18"/>
      <c r="H50" s="17" t="str">
        <f>IF($A50="","",COUNTIF('Casos de Teste'!$B$5:$B$205,$A50))</f>
        <v/>
      </c>
      <c r="I50" s="17" t="str">
        <f>IF($A50="","",COUNTIFS('Casos de Teste'!$B$5:$B$205,$A50,'Casos de Teste'!$L$5:$L$205,"Aprovado"))</f>
        <v/>
      </c>
      <c r="J50" s="17" t="str">
        <f>IF($A50="","",COUNTIFS('Casos de Teste'!$B$5:$B$205,$A50,'Casos de Teste'!$L$5:$L$205,"Reprovado"))</f>
        <v/>
      </c>
      <c r="K50" s="17" t="str">
        <f>IF($A50="","",IF(H50=0,"Sem casos",IF(J50&gt;0,"Reprovado",IF(I50=H50,"Aprovado",IF(I50+J50+COUNTIFS('Casos de Teste'!$B$5:$B$205,$A50,'Casos de Teste'!$L$5:$L$205,"Bloqueado")=0,"Não iniciado","Em andamento")))))</f>
        <v/>
      </c>
    </row>
    <row r="51" spans="1:11" x14ac:dyDescent="0.25">
      <c r="A51" s="18"/>
      <c r="B51" s="18"/>
      <c r="C51" s="18"/>
      <c r="D51" s="18"/>
      <c r="E51" s="18"/>
      <c r="F51" s="18"/>
      <c r="G51" s="18"/>
      <c r="H51" s="17" t="str">
        <f>IF($A51="","",COUNTIF('Casos de Teste'!$B$5:$B$205,$A51))</f>
        <v/>
      </c>
      <c r="I51" s="17" t="str">
        <f>IF($A51="","",COUNTIFS('Casos de Teste'!$B$5:$B$205,$A51,'Casos de Teste'!$L$5:$L$205,"Aprovado"))</f>
        <v/>
      </c>
      <c r="J51" s="17" t="str">
        <f>IF($A51="","",COUNTIFS('Casos de Teste'!$B$5:$B$205,$A51,'Casos de Teste'!$L$5:$L$205,"Reprovado"))</f>
        <v/>
      </c>
      <c r="K51" s="17" t="str">
        <f>IF($A51="","",IF(H51=0,"Sem casos",IF(J51&gt;0,"Reprovado",IF(I51=H51,"Aprovado",IF(I51+J51+COUNTIFS('Casos de Teste'!$B$5:$B$205,$A51,'Casos de Teste'!$L$5:$L$205,"Bloqueado")=0,"Não iniciado","Em andamento")))))</f>
        <v/>
      </c>
    </row>
    <row r="52" spans="1:11" x14ac:dyDescent="0.25">
      <c r="A52" s="18"/>
      <c r="B52" s="18"/>
      <c r="C52" s="18"/>
      <c r="D52" s="18"/>
      <c r="E52" s="18"/>
      <c r="F52" s="18"/>
      <c r="G52" s="18"/>
      <c r="H52" s="17" t="str">
        <f>IF($A52="","",COUNTIF('Casos de Teste'!$B$5:$B$205,$A52))</f>
        <v/>
      </c>
      <c r="I52" s="17" t="str">
        <f>IF($A52="","",COUNTIFS('Casos de Teste'!$B$5:$B$205,$A52,'Casos de Teste'!$L$5:$L$205,"Aprovado"))</f>
        <v/>
      </c>
      <c r="J52" s="17" t="str">
        <f>IF($A52="","",COUNTIFS('Casos de Teste'!$B$5:$B$205,$A52,'Casos de Teste'!$L$5:$L$205,"Reprovado"))</f>
        <v/>
      </c>
      <c r="K52" s="17" t="str">
        <f>IF($A52="","",IF(H52=0,"Sem casos",IF(J52&gt;0,"Reprovado",IF(I52=H52,"Aprovado",IF(I52+J52+COUNTIFS('Casos de Teste'!$B$5:$B$205,$A52,'Casos de Teste'!$L$5:$L$205,"Bloqueado")=0,"Não iniciado","Em andamento")))))</f>
        <v/>
      </c>
    </row>
    <row r="53" spans="1:11" x14ac:dyDescent="0.25">
      <c r="A53" s="18"/>
      <c r="B53" s="18"/>
      <c r="C53" s="18"/>
      <c r="D53" s="18"/>
      <c r="E53" s="18"/>
      <c r="F53" s="18"/>
      <c r="G53" s="18"/>
      <c r="H53" s="17" t="str">
        <f>IF($A53="","",COUNTIF('Casos de Teste'!$B$5:$B$205,$A53))</f>
        <v/>
      </c>
      <c r="I53" s="17" t="str">
        <f>IF($A53="","",COUNTIFS('Casos de Teste'!$B$5:$B$205,$A53,'Casos de Teste'!$L$5:$L$205,"Aprovado"))</f>
        <v/>
      </c>
      <c r="J53" s="17" t="str">
        <f>IF($A53="","",COUNTIFS('Casos de Teste'!$B$5:$B$205,$A53,'Casos de Teste'!$L$5:$L$205,"Reprovado"))</f>
        <v/>
      </c>
      <c r="K53" s="17" t="str">
        <f>IF($A53="","",IF(H53=0,"Sem casos",IF(J53&gt;0,"Reprovado",IF(I53=H53,"Aprovado",IF(I53+J53+COUNTIFS('Casos de Teste'!$B$5:$B$205,$A53,'Casos de Teste'!$L$5:$L$205,"Bloqueado")=0,"Não iniciado","Em andamento")))))</f>
        <v/>
      </c>
    </row>
    <row r="54" spans="1:11" x14ac:dyDescent="0.25">
      <c r="A54" s="18"/>
      <c r="B54" s="18"/>
      <c r="C54" s="18"/>
      <c r="D54" s="18"/>
      <c r="E54" s="18"/>
      <c r="F54" s="18"/>
      <c r="G54" s="18"/>
      <c r="H54" s="17" t="str">
        <f>IF($A54="","",COUNTIF('Casos de Teste'!$B$5:$B$205,$A54))</f>
        <v/>
      </c>
      <c r="I54" s="17" t="str">
        <f>IF($A54="","",COUNTIFS('Casos de Teste'!$B$5:$B$205,$A54,'Casos de Teste'!$L$5:$L$205,"Aprovado"))</f>
        <v/>
      </c>
      <c r="J54" s="17" t="str">
        <f>IF($A54="","",COUNTIFS('Casos de Teste'!$B$5:$B$205,$A54,'Casos de Teste'!$L$5:$L$205,"Reprovado"))</f>
        <v/>
      </c>
      <c r="K54" s="17" t="str">
        <f>IF($A54="","",IF(H54=0,"Sem casos",IF(J54&gt;0,"Reprovado",IF(I54=H54,"Aprovado",IF(I54+J54+COUNTIFS('Casos de Teste'!$B$5:$B$205,$A54,'Casos de Teste'!$L$5:$L$205,"Bloqueado")=0,"Não iniciado","Em andamento")))))</f>
        <v/>
      </c>
    </row>
  </sheetData>
  <conditionalFormatting sqref="K5:K54">
    <cfRule type="cellIs" dxfId="39" priority="2" operator="equal">
      <formula>"Aprovado"</formula>
    </cfRule>
    <cfRule type="cellIs" dxfId="38" priority="3" operator="equal">
      <formula>"Reprovado"</formula>
    </cfRule>
    <cfRule type="cellIs" dxfId="37" priority="4" operator="equal">
      <formula>"Bloqueado"</formula>
    </cfRule>
    <cfRule type="cellIs" dxfId="36" priority="5" operator="equal">
      <formula>"Fechado"</formula>
    </cfRule>
    <cfRule type="cellIs" dxfId="35" priority="6" operator="equal">
      <formula>"Corrigido"</formula>
    </cfRule>
    <cfRule type="cellIs" dxfId="34" priority="7" operator="equal">
      <formula>"Aberto"</formula>
    </cfRule>
    <cfRule type="cellIs" dxfId="33" priority="8" operator="equal">
      <formula>"Em andamento"</formula>
    </cfRule>
    <cfRule type="cellIs" dxfId="32" priority="9" operator="equal">
      <formula>"Em correção"</formula>
    </cfRule>
    <cfRule type="cellIs" dxfId="31" priority="10" operator="equal">
      <formula>"Reaberto"</formula>
    </cfRule>
  </conditionalFormatting>
  <dataValidations count="1">
    <dataValidation type="list" allowBlank="1" sqref="E5:E54" xr:uid="{00000000-0002-0000-0200-000000000000}">
      <formula1>"Alta,Média,Baixa"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5"/>
  <sheetViews>
    <sheetView zoomScaleNormal="100" workbookViewId="0">
      <pane xSplit="4" ySplit="4" topLeftCell="N9" activePane="bottomRight" state="frozen"/>
      <selection pane="topRight" activeCell="E1" sqref="E1"/>
      <selection pane="bottomLeft" activeCell="A5" sqref="A5"/>
      <selection pane="bottomRight" activeCell="R10" sqref="R10"/>
    </sheetView>
  </sheetViews>
  <sheetFormatPr defaultColWidth="8.7109375" defaultRowHeight="15" x14ac:dyDescent="0.25"/>
  <cols>
    <col min="1" max="1" width="10" customWidth="1"/>
    <col min="2" max="2" width="11" customWidth="1"/>
    <col min="3" max="3" width="18" customWidth="1"/>
    <col min="4" max="4" width="34" customWidth="1"/>
    <col min="5" max="6" width="11" customWidth="1"/>
    <col min="7" max="7" width="28" customWidth="1"/>
    <col min="8" max="8" width="46" customWidth="1"/>
    <col min="9" max="9" width="30" customWidth="1"/>
    <col min="10" max="10" width="42" customWidth="1"/>
    <col min="11" max="11" width="30" customWidth="1"/>
    <col min="12" max="12" width="15" customWidth="1"/>
    <col min="13" max="13" width="14" customWidth="1"/>
    <col min="14" max="14" width="37.85546875" customWidth="1"/>
    <col min="15" max="15" width="16" customWidth="1"/>
    <col min="16" max="16" width="14" customWidth="1"/>
    <col min="17" max="17" width="12" customWidth="1"/>
    <col min="18" max="18" width="28" customWidth="1"/>
  </cols>
  <sheetData>
    <row r="1" spans="1:18" ht="18" x14ac:dyDescent="0.25">
      <c r="A1" s="8" t="s">
        <v>81</v>
      </c>
    </row>
    <row r="2" spans="1:18" x14ac:dyDescent="0.25">
      <c r="A2" s="9" t="s">
        <v>82</v>
      </c>
    </row>
    <row r="4" spans="1:18" ht="31.5" customHeight="1" x14ac:dyDescent="0.25">
      <c r="A4" s="15" t="s">
        <v>70</v>
      </c>
      <c r="B4" s="15" t="s">
        <v>83</v>
      </c>
      <c r="C4" s="15" t="s">
        <v>71</v>
      </c>
      <c r="D4" s="15" t="s">
        <v>84</v>
      </c>
      <c r="E4" s="15" t="s">
        <v>49</v>
      </c>
      <c r="F4" s="15" t="s">
        <v>20</v>
      </c>
      <c r="G4" s="15" t="s">
        <v>85</v>
      </c>
      <c r="H4" s="15" t="s">
        <v>86</v>
      </c>
      <c r="I4" s="15" t="s">
        <v>87</v>
      </c>
      <c r="J4" s="15" t="s">
        <v>88</v>
      </c>
      <c r="K4" s="15" t="s">
        <v>89</v>
      </c>
      <c r="L4" s="15" t="s">
        <v>40</v>
      </c>
      <c r="M4" s="15" t="s">
        <v>90</v>
      </c>
      <c r="N4" s="15" t="s">
        <v>91</v>
      </c>
      <c r="O4" s="15" t="s">
        <v>92</v>
      </c>
      <c r="P4" s="15" t="s">
        <v>93</v>
      </c>
      <c r="Q4" s="15" t="s">
        <v>94</v>
      </c>
      <c r="R4" s="15" t="s">
        <v>95</v>
      </c>
    </row>
    <row r="5" spans="1:18" ht="99.75" customHeight="1" x14ac:dyDescent="0.25">
      <c r="A5" s="16" t="s">
        <v>96</v>
      </c>
      <c r="B5" s="16" t="s">
        <v>78</v>
      </c>
      <c r="C5" s="17" t="str">
        <f>IF($B5="","",IFERROR(INDEX(Cenarios!$B$5:$B$54,MATCH($B5,Cenarios!$A$5:$A$54,0)),"ID não encontrado"))</f>
        <v>Cadastro</v>
      </c>
      <c r="D5" s="16" t="s">
        <v>97</v>
      </c>
      <c r="E5" s="16" t="s">
        <v>52</v>
      </c>
      <c r="F5" s="16" t="s">
        <v>58</v>
      </c>
      <c r="G5" s="16" t="s">
        <v>98</v>
      </c>
      <c r="H5" s="16" t="s">
        <v>128</v>
      </c>
      <c r="I5" s="22" t="s">
        <v>130</v>
      </c>
      <c r="J5" s="22" t="s">
        <v>155</v>
      </c>
      <c r="K5" s="16" t="s">
        <v>156</v>
      </c>
      <c r="L5" s="16" t="s">
        <v>43</v>
      </c>
      <c r="M5" s="16" t="s">
        <v>176</v>
      </c>
      <c r="N5" s="16" t="s">
        <v>175</v>
      </c>
      <c r="O5" s="16" t="s">
        <v>129</v>
      </c>
      <c r="P5" s="19">
        <v>46303</v>
      </c>
      <c r="Q5" s="16"/>
      <c r="R5" s="16"/>
    </row>
    <row r="6" spans="1:18" ht="99" customHeight="1" x14ac:dyDescent="0.25">
      <c r="A6" s="16" t="s">
        <v>99</v>
      </c>
      <c r="B6" s="16" t="s">
        <v>78</v>
      </c>
      <c r="C6" s="17" t="str">
        <f>IF($B6="","",IFERROR(INDEX(Cenarios!$B$5:$B$54,MATCH($B6,Cenarios!$A$5:$A$54,0)),"ID não encontrado"))</f>
        <v>Cadastro</v>
      </c>
      <c r="D6" s="22" t="s">
        <v>133</v>
      </c>
      <c r="E6" s="16" t="s">
        <v>53</v>
      </c>
      <c r="F6" s="16" t="s">
        <v>58</v>
      </c>
      <c r="G6" s="16" t="s">
        <v>100</v>
      </c>
      <c r="H6" s="22" t="s">
        <v>134</v>
      </c>
      <c r="I6" s="22" t="s">
        <v>147</v>
      </c>
      <c r="J6" s="22" t="s">
        <v>157</v>
      </c>
      <c r="K6" s="16" t="s">
        <v>160</v>
      </c>
      <c r="L6" s="16" t="s">
        <v>43</v>
      </c>
      <c r="M6" s="16" t="s">
        <v>176</v>
      </c>
      <c r="N6" s="16" t="s">
        <v>175</v>
      </c>
      <c r="O6" s="22" t="s">
        <v>129</v>
      </c>
      <c r="P6" s="19">
        <v>46303</v>
      </c>
      <c r="Q6" s="16"/>
      <c r="R6" s="16"/>
    </row>
    <row r="7" spans="1:18" ht="99.75" customHeight="1" x14ac:dyDescent="0.25">
      <c r="A7" s="16" t="s">
        <v>126</v>
      </c>
      <c r="B7" s="16" t="s">
        <v>78</v>
      </c>
      <c r="C7" s="17" t="str">
        <f>IF($B7="","",IFERROR(INDEX(Cenarios!$B$5:$B$54,MATCH($B7,Cenarios!$A$5:$A$54,0)),"ID não encontrado"))</f>
        <v>Cadastro</v>
      </c>
      <c r="D7" s="16" t="s">
        <v>127</v>
      </c>
      <c r="E7" s="16" t="s">
        <v>53</v>
      </c>
      <c r="F7" s="16" t="s">
        <v>58</v>
      </c>
      <c r="G7" s="16" t="s">
        <v>100</v>
      </c>
      <c r="H7" s="22" t="s">
        <v>131</v>
      </c>
      <c r="I7" s="22" t="s">
        <v>137</v>
      </c>
      <c r="J7" s="22" t="s">
        <v>101</v>
      </c>
      <c r="K7" s="16" t="s">
        <v>158</v>
      </c>
      <c r="L7" s="16" t="s">
        <v>43</v>
      </c>
      <c r="M7" s="16" t="s">
        <v>176</v>
      </c>
      <c r="N7" s="16" t="s">
        <v>175</v>
      </c>
      <c r="O7" s="22" t="s">
        <v>129</v>
      </c>
      <c r="P7" s="19">
        <v>46303</v>
      </c>
      <c r="Q7" s="16"/>
      <c r="R7" s="16"/>
    </row>
    <row r="8" spans="1:18" ht="99.75" customHeight="1" x14ac:dyDescent="0.25">
      <c r="A8" s="22" t="s">
        <v>132</v>
      </c>
      <c r="B8" s="22" t="s">
        <v>78</v>
      </c>
      <c r="C8" s="23" t="s">
        <v>79</v>
      </c>
      <c r="D8" s="22" t="s">
        <v>190</v>
      </c>
      <c r="E8" s="16" t="s">
        <v>53</v>
      </c>
      <c r="F8" s="16" t="s">
        <v>58</v>
      </c>
      <c r="G8" s="22" t="s">
        <v>100</v>
      </c>
      <c r="H8" s="22" t="s">
        <v>135</v>
      </c>
      <c r="I8" s="22" t="s">
        <v>161</v>
      </c>
      <c r="J8" s="22" t="s">
        <v>174</v>
      </c>
      <c r="K8" s="16" t="s">
        <v>159</v>
      </c>
      <c r="L8" s="16" t="s">
        <v>43</v>
      </c>
      <c r="M8" s="16" t="s">
        <v>176</v>
      </c>
      <c r="N8" s="16" t="s">
        <v>175</v>
      </c>
      <c r="O8" s="22" t="s">
        <v>129</v>
      </c>
      <c r="P8" s="19">
        <v>46303</v>
      </c>
      <c r="Q8" s="16"/>
      <c r="R8" s="16"/>
    </row>
    <row r="9" spans="1:18" ht="98.25" customHeight="1" x14ac:dyDescent="0.25">
      <c r="A9" s="22" t="s">
        <v>144</v>
      </c>
      <c r="B9" s="22" t="s">
        <v>78</v>
      </c>
      <c r="C9" s="23" t="s">
        <v>79</v>
      </c>
      <c r="D9" s="22" t="s">
        <v>177</v>
      </c>
      <c r="E9" s="16" t="s">
        <v>53</v>
      </c>
      <c r="F9" s="16" t="s">
        <v>58</v>
      </c>
      <c r="G9" s="22" t="s">
        <v>100</v>
      </c>
      <c r="H9" s="22" t="s">
        <v>145</v>
      </c>
      <c r="I9" s="22" t="s">
        <v>146</v>
      </c>
      <c r="J9" s="22" t="s">
        <v>173</v>
      </c>
      <c r="K9" s="22" t="s">
        <v>163</v>
      </c>
      <c r="L9" s="16" t="s">
        <v>44</v>
      </c>
      <c r="M9" s="16" t="s">
        <v>176</v>
      </c>
      <c r="N9" s="16" t="s">
        <v>175</v>
      </c>
      <c r="O9" s="16" t="s">
        <v>129</v>
      </c>
      <c r="P9" s="19">
        <v>46303</v>
      </c>
      <c r="Q9" s="16" t="s">
        <v>125</v>
      </c>
      <c r="R9" s="25" t="s">
        <v>186</v>
      </c>
    </row>
    <row r="10" spans="1:18" ht="99" customHeight="1" x14ac:dyDescent="0.25">
      <c r="A10" s="25" t="s">
        <v>178</v>
      </c>
      <c r="B10" s="25" t="s">
        <v>78</v>
      </c>
      <c r="C10" s="27" t="str">
        <f>IF($B10="","",IFERROR(INDEX(Cenarios!$B$5:$B$54,MATCH($B10,Cenarios!$A$5:$A$54,0)),"ID não encontrado"))</f>
        <v>Cadastro</v>
      </c>
      <c r="D10" s="22" t="s">
        <v>179</v>
      </c>
      <c r="E10" s="16" t="s">
        <v>53</v>
      </c>
      <c r="F10" s="16" t="s">
        <v>58</v>
      </c>
      <c r="G10" s="22" t="s">
        <v>100</v>
      </c>
      <c r="H10" s="22" t="s">
        <v>191</v>
      </c>
      <c r="I10" s="22" t="s">
        <v>180</v>
      </c>
      <c r="J10" s="22" t="s">
        <v>182</v>
      </c>
      <c r="K10" s="22" t="s">
        <v>181</v>
      </c>
      <c r="L10" s="18" t="s">
        <v>44</v>
      </c>
      <c r="M10" s="25" t="s">
        <v>176</v>
      </c>
      <c r="N10" s="16" t="s">
        <v>175</v>
      </c>
      <c r="O10" s="16" t="s">
        <v>129</v>
      </c>
      <c r="P10" s="19">
        <v>46305</v>
      </c>
      <c r="Q10" s="22" t="s">
        <v>183</v>
      </c>
      <c r="R10" s="25"/>
    </row>
    <row r="11" spans="1:18" x14ac:dyDescent="0.25">
      <c r="A11" s="18"/>
      <c r="B11" s="18"/>
      <c r="C11" s="17" t="str">
        <f>IF($B11="","",IFERROR(INDEX(Cenarios!$B$5:$B$54,MATCH($B11,Cenarios!$A$5:$A$54,0)),"ID não encontrado"))</f>
        <v/>
      </c>
      <c r="D11" s="22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18"/>
      <c r="R11" s="18"/>
    </row>
    <row r="12" spans="1:18" x14ac:dyDescent="0.25">
      <c r="A12" s="18"/>
      <c r="B12" s="18"/>
      <c r="C12" s="17" t="str">
        <f>IF($B12="","",IFERROR(INDEX(Cenarios!$B$5:$B$54,MATCH($B12,Cenarios!$A$5:$A$54,0)),"ID não encontrado"))</f>
        <v/>
      </c>
      <c r="D12" s="22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18"/>
      <c r="R12" s="18"/>
    </row>
    <row r="13" spans="1:18" x14ac:dyDescent="0.25">
      <c r="A13" s="18"/>
      <c r="B13" s="18"/>
      <c r="C13" s="17" t="str">
        <f>IF($B13="","",IFERROR(INDEX(Cenarios!$B$5:$B$54,MATCH($B13,Cenarios!$A$5:$A$54,0)),"ID não encontrado"))</f>
        <v/>
      </c>
      <c r="D13" s="22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18"/>
      <c r="R13" s="18"/>
    </row>
    <row r="14" spans="1:18" x14ac:dyDescent="0.25">
      <c r="A14" s="18"/>
      <c r="B14" s="18"/>
      <c r="C14" s="17" t="str">
        <f>IF($B14="","",IFERROR(INDEX(Cenarios!$B$5:$B$54,MATCH($B14,Cenarios!$A$5:$A$54,0)),"ID não encontrado"))</f>
        <v/>
      </c>
      <c r="D14" s="22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18"/>
      <c r="R14" s="18"/>
    </row>
    <row r="15" spans="1:18" x14ac:dyDescent="0.25">
      <c r="A15" s="18"/>
      <c r="B15" s="18"/>
      <c r="C15" s="17" t="str">
        <f>IF($B15="","",IFERROR(INDEX(Cenarios!$B$5:$B$54,MATCH($B15,Cenarios!$A$5:$A$54,0)),"ID não encontrado"))</f>
        <v/>
      </c>
      <c r="D15" s="22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18"/>
      <c r="R15" s="18"/>
    </row>
    <row r="16" spans="1:18" x14ac:dyDescent="0.25">
      <c r="A16" s="18"/>
      <c r="B16" s="18"/>
      <c r="C16" s="17" t="str">
        <f>IF($B16="","",IFERROR(INDEX(Cenarios!$B$5:$B$54,MATCH($B16,Cenarios!$A$5:$A$54,0)),"ID não encontrado"))</f>
        <v/>
      </c>
      <c r="D16" s="22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0"/>
      <c r="Q16" s="18"/>
      <c r="R16" s="18"/>
    </row>
    <row r="17" spans="1:18" x14ac:dyDescent="0.25">
      <c r="A17" s="18"/>
      <c r="B17" s="18"/>
      <c r="C17" s="17" t="str">
        <f>IF($B17="","",IFERROR(INDEX(Cenarios!$B$5:$B$54,MATCH($B17,Cenarios!$A$5:$A$54,0)),"ID não encontrado"))</f>
        <v/>
      </c>
      <c r="D17" s="22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0"/>
      <c r="Q17" s="18"/>
      <c r="R17" s="18"/>
    </row>
    <row r="18" spans="1:18" x14ac:dyDescent="0.25">
      <c r="A18" s="18"/>
      <c r="B18" s="18"/>
      <c r="C18" s="17" t="str">
        <f>IF($B18="","",IFERROR(INDEX(Cenarios!$B$5:$B$54,MATCH($B18,Cenarios!$A$5:$A$54,0)),"ID não encontrado"))</f>
        <v/>
      </c>
      <c r="D18" s="22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0"/>
      <c r="Q18" s="18"/>
      <c r="R18" s="18"/>
    </row>
    <row r="19" spans="1:18" x14ac:dyDescent="0.25">
      <c r="A19" s="18"/>
      <c r="B19" s="18"/>
      <c r="C19" s="17" t="str">
        <f>IF($B19="","",IFERROR(INDEX(Cenarios!$B$5:$B$54,MATCH($B19,Cenarios!$A$5:$A$54,0)),"ID não encontrado"))</f>
        <v/>
      </c>
      <c r="D19" s="22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0"/>
      <c r="Q19" s="18"/>
      <c r="R19" s="18"/>
    </row>
    <row r="20" spans="1:18" x14ac:dyDescent="0.25">
      <c r="A20" s="18"/>
      <c r="B20" s="18"/>
      <c r="C20" s="17" t="str">
        <f>IF($B20="","",IFERROR(INDEX(Cenarios!$B$5:$B$54,MATCH($B20,Cenarios!$A$5:$A$54,0)),"ID não encontrado"))</f>
        <v/>
      </c>
      <c r="D20" s="22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0"/>
      <c r="Q20" s="18"/>
      <c r="R20" s="18"/>
    </row>
    <row r="21" spans="1:18" x14ac:dyDescent="0.25">
      <c r="A21" s="18"/>
      <c r="B21" s="18"/>
      <c r="C21" s="17" t="str">
        <f>IF($B21="","",IFERROR(INDEX(Cenarios!$B$5:$B$54,MATCH($B21,Cenarios!$A$5:$A$54,0)),"ID não encontrado"))</f>
        <v/>
      </c>
      <c r="D21" s="22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0"/>
      <c r="Q21" s="18"/>
      <c r="R21" s="18"/>
    </row>
    <row r="22" spans="1:18" x14ac:dyDescent="0.25">
      <c r="A22" s="18"/>
      <c r="B22" s="18"/>
      <c r="C22" s="17" t="str">
        <f>IF($B22="","",IFERROR(INDEX(Cenarios!$B$5:$B$54,MATCH($B22,Cenarios!$A$5:$A$54,0)),"ID não encontrado"))</f>
        <v/>
      </c>
      <c r="D22" s="22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0"/>
      <c r="Q22" s="18"/>
      <c r="R22" s="18"/>
    </row>
    <row r="23" spans="1:18" x14ac:dyDescent="0.25">
      <c r="A23" s="18"/>
      <c r="B23" s="18"/>
      <c r="C23" s="17" t="str">
        <f>IF($B23="","",IFERROR(INDEX(Cenarios!$B$5:$B$54,MATCH($B23,Cenarios!$A$5:$A$54,0)),"ID não encontrado"))</f>
        <v/>
      </c>
      <c r="D23" s="22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0"/>
      <c r="Q23" s="18"/>
      <c r="R23" s="18"/>
    </row>
    <row r="24" spans="1:18" x14ac:dyDescent="0.25">
      <c r="A24" s="18"/>
      <c r="B24" s="18"/>
      <c r="C24" s="17" t="str">
        <f>IF($B24="","",IFERROR(INDEX(Cenarios!$B$5:$B$54,MATCH($B24,Cenarios!$A$5:$A$54,0)),"ID não encontrado"))</f>
        <v/>
      </c>
      <c r="D24" s="22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0"/>
      <c r="Q24" s="18"/>
      <c r="R24" s="18"/>
    </row>
    <row r="25" spans="1:18" x14ac:dyDescent="0.25">
      <c r="A25" s="18"/>
      <c r="B25" s="18"/>
      <c r="C25" s="17" t="str">
        <f>IF($B25="","",IFERROR(INDEX(Cenarios!$B$5:$B$54,MATCH($B25,Cenarios!$A$5:$A$54,0)),"ID não encontrado"))</f>
        <v/>
      </c>
      <c r="D25" s="22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0"/>
      <c r="Q25" s="18"/>
      <c r="R25" s="18"/>
    </row>
    <row r="26" spans="1:18" x14ac:dyDescent="0.25">
      <c r="A26" s="18"/>
      <c r="B26" s="18"/>
      <c r="C26" s="17" t="str">
        <f>IF($B26="","",IFERROR(INDEX(Cenarios!$B$5:$B$54,MATCH($B26,Cenarios!$A$5:$A$54,0)),"ID não encontrado"))</f>
        <v/>
      </c>
      <c r="D26" s="22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0"/>
      <c r="Q26" s="18"/>
      <c r="R26" s="18"/>
    </row>
    <row r="27" spans="1:18" x14ac:dyDescent="0.25">
      <c r="A27" s="18"/>
      <c r="B27" s="18"/>
      <c r="C27" s="17" t="str">
        <f>IF($B27="","",IFERROR(INDEX(Cenarios!$B$5:$B$54,MATCH($B27,Cenarios!$A$5:$A$54,0)),"ID não encontrado"))</f>
        <v/>
      </c>
      <c r="D27" s="22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0"/>
      <c r="Q27" s="18"/>
      <c r="R27" s="18"/>
    </row>
    <row r="28" spans="1:18" x14ac:dyDescent="0.25">
      <c r="A28" s="18"/>
      <c r="B28" s="18"/>
      <c r="C28" s="17" t="str">
        <f>IF($B28="","",IFERROR(INDEX(Cenarios!$B$5:$B$54,MATCH($B28,Cenarios!$A$5:$A$54,0)),"ID não encontrado"))</f>
        <v/>
      </c>
      <c r="D28" s="22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0"/>
      <c r="Q28" s="18"/>
      <c r="R28" s="18"/>
    </row>
    <row r="29" spans="1:18" x14ac:dyDescent="0.25">
      <c r="A29" s="18"/>
      <c r="B29" s="18"/>
      <c r="C29" s="17" t="str">
        <f>IF($B29="","",IFERROR(INDEX(Cenarios!$B$5:$B$54,MATCH($B29,Cenarios!$A$5:$A$54,0)),"ID não encontrado"))</f>
        <v/>
      </c>
      <c r="D29" s="22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0"/>
      <c r="Q29" s="18"/>
      <c r="R29" s="18"/>
    </row>
    <row r="30" spans="1:18" x14ac:dyDescent="0.25">
      <c r="A30" s="18"/>
      <c r="B30" s="18"/>
      <c r="C30" s="17" t="str">
        <f>IF($B30="","",IFERROR(INDEX(Cenarios!$B$5:$B$54,MATCH($B30,Cenarios!$A$5:$A$54,0)),"ID não encontrado"))</f>
        <v/>
      </c>
      <c r="D30" s="22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20"/>
      <c r="Q30" s="18"/>
      <c r="R30" s="18"/>
    </row>
    <row r="31" spans="1:18" x14ac:dyDescent="0.25">
      <c r="A31" s="18"/>
      <c r="B31" s="18"/>
      <c r="C31" s="17" t="str">
        <f>IF($B31="","",IFERROR(INDEX(Cenarios!$B$5:$B$54,MATCH($B31,Cenarios!$A$5:$A$54,0)),"ID não encontrado"))</f>
        <v/>
      </c>
      <c r="D31" s="22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0"/>
      <c r="Q31" s="18"/>
      <c r="R31" s="18"/>
    </row>
    <row r="32" spans="1:18" x14ac:dyDescent="0.25">
      <c r="A32" s="18"/>
      <c r="B32" s="18"/>
      <c r="C32" s="17" t="str">
        <f>IF($B32="","",IFERROR(INDEX(Cenarios!$B$5:$B$54,MATCH($B32,Cenarios!$A$5:$A$54,0)),"ID não encontrado"))</f>
        <v/>
      </c>
      <c r="D32" s="22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20"/>
      <c r="Q32" s="18"/>
      <c r="R32" s="18"/>
    </row>
    <row r="33" spans="1:18" x14ac:dyDescent="0.25">
      <c r="A33" s="18"/>
      <c r="B33" s="18"/>
      <c r="C33" s="17" t="str">
        <f>IF($B33="","",IFERROR(INDEX(Cenarios!$B$5:$B$54,MATCH($B33,Cenarios!$A$5:$A$54,0)),"ID não encontrado"))</f>
        <v/>
      </c>
      <c r="D33" s="22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20"/>
      <c r="Q33" s="18"/>
      <c r="R33" s="18"/>
    </row>
    <row r="34" spans="1:18" x14ac:dyDescent="0.25">
      <c r="A34" s="18"/>
      <c r="B34" s="18"/>
      <c r="C34" s="17" t="str">
        <f>IF($B34="","",IFERROR(INDEX(Cenarios!$B$5:$B$54,MATCH($B34,Cenarios!$A$5:$A$54,0)),"ID não encontrado"))</f>
        <v/>
      </c>
      <c r="D34" s="22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20"/>
      <c r="Q34" s="18"/>
      <c r="R34" s="18"/>
    </row>
    <row r="35" spans="1:18" x14ac:dyDescent="0.25">
      <c r="A35" s="18"/>
      <c r="B35" s="18"/>
      <c r="C35" s="17" t="str">
        <f>IF($B35="","",IFERROR(INDEX(Cenarios!$B$5:$B$54,MATCH($B35,Cenarios!$A$5:$A$54,0)),"ID não encontrado"))</f>
        <v/>
      </c>
      <c r="D35" s="22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20"/>
      <c r="Q35" s="18"/>
      <c r="R35" s="18"/>
    </row>
    <row r="36" spans="1:18" x14ac:dyDescent="0.25">
      <c r="A36" s="18"/>
      <c r="B36" s="18"/>
      <c r="C36" s="17" t="str">
        <f>IF($B36="","",IFERROR(INDEX(Cenarios!$B$5:$B$54,MATCH($B36,Cenarios!$A$5:$A$54,0)),"ID não encontrado"))</f>
        <v/>
      </c>
      <c r="D36" s="22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20"/>
      <c r="Q36" s="18"/>
      <c r="R36" s="18"/>
    </row>
    <row r="37" spans="1:18" x14ac:dyDescent="0.25">
      <c r="A37" s="18"/>
      <c r="B37" s="18"/>
      <c r="C37" s="17" t="str">
        <f>IF($B37="","",IFERROR(INDEX(Cenarios!$B$5:$B$54,MATCH($B37,Cenarios!$A$5:$A$54,0)),"ID não encontrado"))</f>
        <v/>
      </c>
      <c r="D37" s="22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20"/>
      <c r="Q37" s="18"/>
      <c r="R37" s="18"/>
    </row>
    <row r="38" spans="1:18" x14ac:dyDescent="0.25">
      <c r="A38" s="18"/>
      <c r="B38" s="18"/>
      <c r="C38" s="17" t="str">
        <f>IF($B38="","",IFERROR(INDEX(Cenarios!$B$5:$B$54,MATCH($B38,Cenarios!$A$5:$A$54,0)),"ID não encontrado"))</f>
        <v/>
      </c>
      <c r="D38" s="22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0"/>
      <c r="Q38" s="18"/>
      <c r="R38" s="18"/>
    </row>
    <row r="39" spans="1:18" x14ac:dyDescent="0.25">
      <c r="A39" s="18"/>
      <c r="B39" s="18"/>
      <c r="C39" s="17" t="str">
        <f>IF($B39="","",IFERROR(INDEX(Cenarios!$B$5:$B$54,MATCH($B39,Cenarios!$A$5:$A$54,0)),"ID não encontrado"))</f>
        <v/>
      </c>
      <c r="D39" s="22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0"/>
      <c r="Q39" s="18"/>
      <c r="R39" s="18"/>
    </row>
    <row r="40" spans="1:18" x14ac:dyDescent="0.25">
      <c r="A40" s="18"/>
      <c r="B40" s="18"/>
      <c r="C40" s="17" t="str">
        <f>IF($B40="","",IFERROR(INDEX(Cenarios!$B$5:$B$54,MATCH($B40,Cenarios!$A$5:$A$54,0)),"ID não encontrado"))</f>
        <v/>
      </c>
      <c r="D40" s="22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20"/>
      <c r="Q40" s="18"/>
      <c r="R40" s="18"/>
    </row>
    <row r="41" spans="1:18" x14ac:dyDescent="0.25">
      <c r="A41" s="18"/>
      <c r="B41" s="18"/>
      <c r="C41" s="17" t="str">
        <f>IF($B41="","",IFERROR(INDEX(Cenarios!$B$5:$B$54,MATCH($B41,Cenarios!$A$5:$A$54,0)),"ID não encontrado"))</f>
        <v/>
      </c>
      <c r="D41" s="22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20"/>
      <c r="Q41" s="18"/>
      <c r="R41" s="18"/>
    </row>
    <row r="42" spans="1:18" x14ac:dyDescent="0.25">
      <c r="A42" s="18"/>
      <c r="B42" s="18"/>
      <c r="C42" s="17" t="str">
        <f>IF($B42="","",IFERROR(INDEX(Cenarios!$B$5:$B$54,MATCH($B42,Cenarios!$A$5:$A$54,0)),"ID não encontrado"))</f>
        <v/>
      </c>
      <c r="D42" s="22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20"/>
      <c r="Q42" s="18"/>
      <c r="R42" s="18"/>
    </row>
    <row r="43" spans="1:18" x14ac:dyDescent="0.25">
      <c r="A43" s="18"/>
      <c r="B43" s="18"/>
      <c r="C43" s="17" t="str">
        <f>IF($B43="","",IFERROR(INDEX(Cenarios!$B$5:$B$54,MATCH($B43,Cenarios!$A$5:$A$54,0)),"ID não encontrado"))</f>
        <v/>
      </c>
      <c r="D43" s="22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0"/>
      <c r="Q43" s="18"/>
      <c r="R43" s="18"/>
    </row>
    <row r="44" spans="1:18" x14ac:dyDescent="0.25">
      <c r="A44" s="18"/>
      <c r="B44" s="18"/>
      <c r="C44" s="17" t="str">
        <f>IF($B44="","",IFERROR(INDEX(Cenarios!$B$5:$B$54,MATCH($B44,Cenarios!$A$5:$A$54,0)),"ID não encontrado"))</f>
        <v/>
      </c>
      <c r="D44" s="22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20"/>
      <c r="Q44" s="18"/>
      <c r="R44" s="18"/>
    </row>
    <row r="45" spans="1:18" x14ac:dyDescent="0.25">
      <c r="A45" s="18"/>
      <c r="B45" s="18"/>
      <c r="C45" s="17" t="str">
        <f>IF($B45="","",IFERROR(INDEX(Cenarios!$B$5:$B$54,MATCH($B45,Cenarios!$A$5:$A$54,0)),"ID não encontrado"))</f>
        <v/>
      </c>
      <c r="D45" s="22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20"/>
      <c r="Q45" s="18"/>
      <c r="R45" s="18"/>
    </row>
    <row r="46" spans="1:18" x14ac:dyDescent="0.25">
      <c r="A46" s="18"/>
      <c r="B46" s="18"/>
      <c r="C46" s="17" t="str">
        <f>IF($B46="","",IFERROR(INDEX(Cenarios!$B$5:$B$54,MATCH($B46,Cenarios!$A$5:$A$54,0)),"ID não encontrado"))</f>
        <v/>
      </c>
      <c r="D46" s="22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20"/>
      <c r="Q46" s="18"/>
      <c r="R46" s="18"/>
    </row>
    <row r="47" spans="1:18" x14ac:dyDescent="0.25">
      <c r="A47" s="18"/>
      <c r="B47" s="18"/>
      <c r="C47" s="17" t="str">
        <f>IF($B47="","",IFERROR(INDEX(Cenarios!$B$5:$B$54,MATCH($B47,Cenarios!$A$5:$A$54,0)),"ID não encontrado"))</f>
        <v/>
      </c>
      <c r="D47" s="22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20"/>
      <c r="Q47" s="18"/>
      <c r="R47" s="18"/>
    </row>
    <row r="48" spans="1:18" x14ac:dyDescent="0.25">
      <c r="A48" s="18"/>
      <c r="B48" s="18"/>
      <c r="C48" s="17" t="str">
        <f>IF($B48="","",IFERROR(INDEX(Cenarios!$B$5:$B$54,MATCH($B48,Cenarios!$A$5:$A$54,0)),"ID não encontrado"))</f>
        <v/>
      </c>
      <c r="D48" s="22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20"/>
      <c r="Q48" s="18"/>
      <c r="R48" s="18"/>
    </row>
    <row r="49" spans="1:18" x14ac:dyDescent="0.25">
      <c r="A49" s="18"/>
      <c r="B49" s="18"/>
      <c r="C49" s="17" t="str">
        <f>IF($B49="","",IFERROR(INDEX(Cenarios!$B$5:$B$54,MATCH($B49,Cenarios!$A$5:$A$54,0)),"ID não encontrado"))</f>
        <v/>
      </c>
      <c r="D49" s="22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20"/>
      <c r="Q49" s="18"/>
      <c r="R49" s="18"/>
    </row>
    <row r="50" spans="1:18" x14ac:dyDescent="0.25">
      <c r="A50" s="18"/>
      <c r="B50" s="18"/>
      <c r="C50" s="17" t="str">
        <f>IF($B50="","",IFERROR(INDEX(Cenarios!$B$5:$B$54,MATCH($B50,Cenarios!$A$5:$A$54,0)),"ID não encontrado"))</f>
        <v/>
      </c>
      <c r="D50" s="22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20"/>
      <c r="Q50" s="18"/>
      <c r="R50" s="18"/>
    </row>
    <row r="51" spans="1:18" x14ac:dyDescent="0.25">
      <c r="A51" s="18"/>
      <c r="B51" s="18"/>
      <c r="C51" s="17" t="str">
        <f>IF($B51="","",IFERROR(INDEX(Cenarios!$B$5:$B$54,MATCH($B51,Cenarios!$A$5:$A$54,0)),"ID não encontrado"))</f>
        <v/>
      </c>
      <c r="D51" s="22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20"/>
      <c r="Q51" s="18"/>
      <c r="R51" s="18"/>
    </row>
    <row r="52" spans="1:18" x14ac:dyDescent="0.25">
      <c r="A52" s="18"/>
      <c r="B52" s="18"/>
      <c r="C52" s="17" t="str">
        <f>IF($B52="","",IFERROR(INDEX(Cenarios!$B$5:$B$54,MATCH($B52,Cenarios!$A$5:$A$54,0)),"ID não encontrado"))</f>
        <v/>
      </c>
      <c r="D52" s="22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20"/>
      <c r="Q52" s="18"/>
      <c r="R52" s="18"/>
    </row>
    <row r="53" spans="1:18" x14ac:dyDescent="0.25">
      <c r="A53" s="18"/>
      <c r="B53" s="18"/>
      <c r="C53" s="17" t="str">
        <f>IF($B53="","",IFERROR(INDEX(Cenarios!$B$5:$B$54,MATCH($B53,Cenarios!$A$5:$A$54,0)),"ID não encontrado"))</f>
        <v/>
      </c>
      <c r="D53" s="22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20"/>
      <c r="Q53" s="18"/>
      <c r="R53" s="18"/>
    </row>
    <row r="54" spans="1:18" x14ac:dyDescent="0.25">
      <c r="A54" s="18"/>
      <c r="B54" s="18"/>
      <c r="C54" s="17" t="str">
        <f>IF($B54="","",IFERROR(INDEX(Cenarios!$B$5:$B$54,MATCH($B54,Cenarios!$A$5:$A$54,0)),"ID não encontrado"))</f>
        <v/>
      </c>
      <c r="D54" s="22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20"/>
      <c r="Q54" s="18"/>
      <c r="R54" s="18"/>
    </row>
    <row r="55" spans="1:18" x14ac:dyDescent="0.25">
      <c r="A55" s="18"/>
      <c r="B55" s="18"/>
      <c r="C55" s="17" t="str">
        <f>IF($B55="","",IFERROR(INDEX(Cenarios!$B$5:$B$54,MATCH($B55,Cenarios!$A$5:$A$54,0)),"ID não encontrado"))</f>
        <v/>
      </c>
      <c r="D55" s="22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20"/>
      <c r="Q55" s="18"/>
      <c r="R55" s="18"/>
    </row>
    <row r="56" spans="1:18" x14ac:dyDescent="0.25">
      <c r="A56" s="18"/>
      <c r="B56" s="18"/>
      <c r="C56" s="17" t="str">
        <f>IF($B56="","",IFERROR(INDEX(Cenarios!$B$5:$B$54,MATCH($B56,Cenarios!$A$5:$A$54,0)),"ID não encontrado"))</f>
        <v/>
      </c>
      <c r="D56" s="22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20"/>
      <c r="Q56" s="18"/>
      <c r="R56" s="18"/>
    </row>
    <row r="57" spans="1:18" x14ac:dyDescent="0.25">
      <c r="A57" s="18"/>
      <c r="B57" s="18"/>
      <c r="C57" s="17" t="str">
        <f>IF($B57="","",IFERROR(INDEX(Cenarios!$B$5:$B$54,MATCH($B57,Cenarios!$A$5:$A$54,0)),"ID não encontrado"))</f>
        <v/>
      </c>
      <c r="D57" s="22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20"/>
      <c r="Q57" s="18"/>
      <c r="R57" s="18"/>
    </row>
    <row r="58" spans="1:18" x14ac:dyDescent="0.25">
      <c r="A58" s="18"/>
      <c r="B58" s="18"/>
      <c r="C58" s="17" t="str">
        <f>IF($B58="","",IFERROR(INDEX(Cenarios!$B$5:$B$54,MATCH($B58,Cenarios!$A$5:$A$54,0)),"ID não encontrado"))</f>
        <v/>
      </c>
      <c r="D58" s="22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20"/>
      <c r="Q58" s="18"/>
      <c r="R58" s="18"/>
    </row>
    <row r="59" spans="1:18" x14ac:dyDescent="0.25">
      <c r="A59" s="18"/>
      <c r="B59" s="18"/>
      <c r="C59" s="17" t="str">
        <f>IF($B59="","",IFERROR(INDEX(Cenarios!$B$5:$B$54,MATCH($B59,Cenarios!$A$5:$A$54,0)),"ID não encontrado"))</f>
        <v/>
      </c>
      <c r="D59" s="22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20"/>
      <c r="Q59" s="18"/>
      <c r="R59" s="18"/>
    </row>
    <row r="60" spans="1:18" x14ac:dyDescent="0.25">
      <c r="A60" s="18"/>
      <c r="B60" s="18"/>
      <c r="C60" s="17" t="str">
        <f>IF($B60="","",IFERROR(INDEX(Cenarios!$B$5:$B$54,MATCH($B60,Cenarios!$A$5:$A$54,0)),"ID não encontrado"))</f>
        <v/>
      </c>
      <c r="D60" s="22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20"/>
      <c r="Q60" s="18"/>
      <c r="R60" s="18"/>
    </row>
    <row r="61" spans="1:18" x14ac:dyDescent="0.25">
      <c r="A61" s="18"/>
      <c r="B61" s="18"/>
      <c r="C61" s="17" t="str">
        <f>IF($B61="","",IFERROR(INDEX(Cenarios!$B$5:$B$54,MATCH($B61,Cenarios!$A$5:$A$54,0)),"ID não encontrado"))</f>
        <v/>
      </c>
      <c r="D61" s="22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20"/>
      <c r="Q61" s="18"/>
      <c r="R61" s="18"/>
    </row>
    <row r="62" spans="1:18" x14ac:dyDescent="0.25">
      <c r="A62" s="18"/>
      <c r="B62" s="18"/>
      <c r="C62" s="17" t="str">
        <f>IF($B62="","",IFERROR(INDEX(Cenarios!$B$5:$B$54,MATCH($B62,Cenarios!$A$5:$A$54,0)),"ID não encontrado"))</f>
        <v/>
      </c>
      <c r="D62" s="22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20"/>
      <c r="Q62" s="18"/>
      <c r="R62" s="18"/>
    </row>
    <row r="63" spans="1:18" x14ac:dyDescent="0.25">
      <c r="A63" s="18"/>
      <c r="B63" s="18"/>
      <c r="C63" s="17" t="str">
        <f>IF($B63="","",IFERROR(INDEX(Cenarios!$B$5:$B$54,MATCH($B63,Cenarios!$A$5:$A$54,0)),"ID não encontrado"))</f>
        <v/>
      </c>
      <c r="D63" s="22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20"/>
      <c r="Q63" s="18"/>
      <c r="R63" s="18"/>
    </row>
    <row r="64" spans="1:18" x14ac:dyDescent="0.25">
      <c r="A64" s="18"/>
      <c r="B64" s="18"/>
      <c r="C64" s="17" t="str">
        <f>IF($B64="","",IFERROR(INDEX(Cenarios!$B$5:$B$54,MATCH($B64,Cenarios!$A$5:$A$54,0)),"ID não encontrado"))</f>
        <v/>
      </c>
      <c r="D64" s="22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20"/>
      <c r="Q64" s="18"/>
      <c r="R64" s="18"/>
    </row>
    <row r="65" spans="1:18" x14ac:dyDescent="0.25">
      <c r="A65" s="18"/>
      <c r="B65" s="18"/>
      <c r="C65" s="17" t="str">
        <f>IF($B65="","",IFERROR(INDEX(Cenarios!$B$5:$B$54,MATCH($B65,Cenarios!$A$5:$A$54,0)),"ID não encontrado"))</f>
        <v/>
      </c>
      <c r="D65" s="22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0"/>
      <c r="Q65" s="18"/>
      <c r="R65" s="18"/>
    </row>
    <row r="66" spans="1:18" x14ac:dyDescent="0.25">
      <c r="A66" s="18"/>
      <c r="B66" s="18"/>
      <c r="C66" s="17" t="str">
        <f>IF($B66="","",IFERROR(INDEX(Cenarios!$B$5:$B$54,MATCH($B66,Cenarios!$A$5:$A$54,0)),"ID não encontrado"))</f>
        <v/>
      </c>
      <c r="D66" s="22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20"/>
      <c r="Q66" s="18"/>
      <c r="R66" s="18"/>
    </row>
    <row r="67" spans="1:18" x14ac:dyDescent="0.25">
      <c r="A67" s="18"/>
      <c r="B67" s="18"/>
      <c r="C67" s="17" t="str">
        <f>IF($B67="","",IFERROR(INDEX(Cenarios!$B$5:$B$54,MATCH($B67,Cenarios!$A$5:$A$54,0)),"ID não encontrado"))</f>
        <v/>
      </c>
      <c r="D67" s="22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20"/>
      <c r="Q67" s="18"/>
      <c r="R67" s="18"/>
    </row>
    <row r="68" spans="1:18" x14ac:dyDescent="0.25">
      <c r="A68" s="18"/>
      <c r="B68" s="18"/>
      <c r="C68" s="17" t="str">
        <f>IF($B68="","",IFERROR(INDEX(Cenarios!$B$5:$B$54,MATCH($B68,Cenarios!$A$5:$A$54,0)),"ID não encontrado"))</f>
        <v/>
      </c>
      <c r="D68" s="22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20"/>
      <c r="Q68" s="18"/>
      <c r="R68" s="18"/>
    </row>
    <row r="69" spans="1:18" x14ac:dyDescent="0.25">
      <c r="A69" s="18"/>
      <c r="B69" s="18"/>
      <c r="C69" s="17" t="str">
        <f>IF($B69="","",IFERROR(INDEX(Cenarios!$B$5:$B$54,MATCH($B69,Cenarios!$A$5:$A$54,0)),"ID não encontrado"))</f>
        <v/>
      </c>
      <c r="D69" s="22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20"/>
      <c r="Q69" s="18"/>
      <c r="R69" s="18"/>
    </row>
    <row r="70" spans="1:18" x14ac:dyDescent="0.25">
      <c r="A70" s="18"/>
      <c r="B70" s="18"/>
      <c r="C70" s="17" t="str">
        <f>IF($B70="","",IFERROR(INDEX(Cenarios!$B$5:$B$54,MATCH($B70,Cenarios!$A$5:$A$54,0)),"ID não encontrado"))</f>
        <v/>
      </c>
      <c r="D70" s="22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20"/>
      <c r="Q70" s="18"/>
      <c r="R70" s="18"/>
    </row>
    <row r="71" spans="1:18" x14ac:dyDescent="0.25">
      <c r="A71" s="18"/>
      <c r="B71" s="18"/>
      <c r="C71" s="17" t="str">
        <f>IF($B71="","",IFERROR(INDEX(Cenarios!$B$5:$B$54,MATCH($B71,Cenarios!$A$5:$A$54,0)),"ID não encontrado"))</f>
        <v/>
      </c>
      <c r="D71" s="22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20"/>
      <c r="Q71" s="18"/>
      <c r="R71" s="18"/>
    </row>
    <row r="72" spans="1:18" x14ac:dyDescent="0.25">
      <c r="A72" s="18"/>
      <c r="B72" s="18"/>
      <c r="C72" s="17" t="str">
        <f>IF($B72="","",IFERROR(INDEX(Cenarios!$B$5:$B$54,MATCH($B72,Cenarios!$A$5:$A$54,0)),"ID não encontrado"))</f>
        <v/>
      </c>
      <c r="D72" s="22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20"/>
      <c r="Q72" s="18"/>
      <c r="R72" s="18"/>
    </row>
    <row r="73" spans="1:18" x14ac:dyDescent="0.25">
      <c r="A73" s="18"/>
      <c r="B73" s="18"/>
      <c r="C73" s="17" t="str">
        <f>IF($B73="","",IFERROR(INDEX(Cenarios!$B$5:$B$54,MATCH($B73,Cenarios!$A$5:$A$54,0)),"ID não encontrado"))</f>
        <v/>
      </c>
      <c r="D73" s="22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20"/>
      <c r="Q73" s="18"/>
      <c r="R73" s="18"/>
    </row>
    <row r="74" spans="1:18" x14ac:dyDescent="0.25">
      <c r="A74" s="18"/>
      <c r="B74" s="18"/>
      <c r="C74" s="17" t="str">
        <f>IF($B74="","",IFERROR(INDEX(Cenarios!$B$5:$B$54,MATCH($B74,Cenarios!$A$5:$A$54,0)),"ID não encontrado"))</f>
        <v/>
      </c>
      <c r="D74" s="22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20"/>
      <c r="Q74" s="18"/>
      <c r="R74" s="18"/>
    </row>
    <row r="75" spans="1:18" x14ac:dyDescent="0.25">
      <c r="A75" s="18"/>
      <c r="B75" s="18"/>
      <c r="C75" s="17" t="str">
        <f>IF($B75="","",IFERROR(INDEX(Cenarios!$B$5:$B$54,MATCH($B75,Cenarios!$A$5:$A$54,0)),"ID não encontrado"))</f>
        <v/>
      </c>
      <c r="D75" s="22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20"/>
      <c r="Q75" s="18"/>
      <c r="R75" s="18"/>
    </row>
    <row r="76" spans="1:18" x14ac:dyDescent="0.25">
      <c r="A76" s="18"/>
      <c r="B76" s="18"/>
      <c r="C76" s="17" t="str">
        <f>IF($B76="","",IFERROR(INDEX(Cenarios!$B$5:$B$54,MATCH($B76,Cenarios!$A$5:$A$54,0)),"ID não encontrado"))</f>
        <v/>
      </c>
      <c r="D76" s="22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20"/>
      <c r="Q76" s="18"/>
      <c r="R76" s="18"/>
    </row>
    <row r="77" spans="1:18" x14ac:dyDescent="0.25">
      <c r="A77" s="18"/>
      <c r="B77" s="18"/>
      <c r="C77" s="17" t="str">
        <f>IF($B77="","",IFERROR(INDEX(Cenarios!$B$5:$B$54,MATCH($B77,Cenarios!$A$5:$A$54,0)),"ID não encontrado"))</f>
        <v/>
      </c>
      <c r="D77" s="22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20"/>
      <c r="Q77" s="18"/>
      <c r="R77" s="18"/>
    </row>
    <row r="78" spans="1:18" x14ac:dyDescent="0.25">
      <c r="A78" s="18"/>
      <c r="B78" s="18"/>
      <c r="C78" s="17" t="str">
        <f>IF($B78="","",IFERROR(INDEX(Cenarios!$B$5:$B$54,MATCH($B78,Cenarios!$A$5:$A$54,0)),"ID não encontrado"))</f>
        <v/>
      </c>
      <c r="D78" s="22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20"/>
      <c r="Q78" s="18"/>
      <c r="R78" s="18"/>
    </row>
    <row r="79" spans="1:18" x14ac:dyDescent="0.25">
      <c r="A79" s="18"/>
      <c r="B79" s="18"/>
      <c r="C79" s="17" t="str">
        <f>IF($B79="","",IFERROR(INDEX(Cenarios!$B$5:$B$54,MATCH($B79,Cenarios!$A$5:$A$54,0)),"ID não encontrado"))</f>
        <v/>
      </c>
      <c r="D79" s="22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20"/>
      <c r="Q79" s="18"/>
      <c r="R79" s="18"/>
    </row>
    <row r="80" spans="1:18" x14ac:dyDescent="0.25">
      <c r="A80" s="18"/>
      <c r="B80" s="18"/>
      <c r="C80" s="17" t="str">
        <f>IF($B80="","",IFERROR(INDEX(Cenarios!$B$5:$B$54,MATCH($B80,Cenarios!$A$5:$A$54,0)),"ID não encontrado"))</f>
        <v/>
      </c>
      <c r="D80" s="22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20"/>
      <c r="Q80" s="18"/>
      <c r="R80" s="18"/>
    </row>
    <row r="81" spans="1:18" x14ac:dyDescent="0.25">
      <c r="A81" s="18"/>
      <c r="B81" s="18"/>
      <c r="C81" s="17" t="str">
        <f>IF($B81="","",IFERROR(INDEX(Cenarios!$B$5:$B$54,MATCH($B81,Cenarios!$A$5:$A$54,0)),"ID não encontrado"))</f>
        <v/>
      </c>
      <c r="D81" s="22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20"/>
      <c r="Q81" s="18"/>
      <c r="R81" s="18"/>
    </row>
    <row r="82" spans="1:18" x14ac:dyDescent="0.25">
      <c r="A82" s="18"/>
      <c r="B82" s="18"/>
      <c r="C82" s="17" t="str">
        <f>IF($B82="","",IFERROR(INDEX(Cenarios!$B$5:$B$54,MATCH($B82,Cenarios!$A$5:$A$54,0)),"ID não encontrado"))</f>
        <v/>
      </c>
      <c r="D82" s="22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20"/>
      <c r="Q82" s="18"/>
      <c r="R82" s="18"/>
    </row>
    <row r="83" spans="1:18" x14ac:dyDescent="0.25">
      <c r="A83" s="18"/>
      <c r="B83" s="18"/>
      <c r="C83" s="17" t="str">
        <f>IF($B83="","",IFERROR(INDEX(Cenarios!$B$5:$B$54,MATCH($B83,Cenarios!$A$5:$A$54,0)),"ID não encontrado"))</f>
        <v/>
      </c>
      <c r="D83" s="22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20"/>
      <c r="Q83" s="18"/>
      <c r="R83" s="18"/>
    </row>
    <row r="84" spans="1:18" x14ac:dyDescent="0.25">
      <c r="A84" s="18"/>
      <c r="B84" s="18"/>
      <c r="C84" s="17" t="str">
        <f>IF($B84="","",IFERROR(INDEX(Cenarios!$B$5:$B$54,MATCH($B84,Cenarios!$A$5:$A$54,0)),"ID não encontrado"))</f>
        <v/>
      </c>
      <c r="D84" s="22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20"/>
      <c r="Q84" s="18"/>
      <c r="R84" s="18"/>
    </row>
    <row r="85" spans="1:18" x14ac:dyDescent="0.25">
      <c r="A85" s="18"/>
      <c r="B85" s="18"/>
      <c r="C85" s="17" t="str">
        <f>IF($B85="","",IFERROR(INDEX(Cenarios!$B$5:$B$54,MATCH($B85,Cenarios!$A$5:$A$54,0)),"ID não encontrado"))</f>
        <v/>
      </c>
      <c r="D85" s="22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20"/>
      <c r="Q85" s="18"/>
      <c r="R85" s="18"/>
    </row>
    <row r="86" spans="1:18" x14ac:dyDescent="0.25">
      <c r="A86" s="18"/>
      <c r="B86" s="18"/>
      <c r="C86" s="17" t="str">
        <f>IF($B86="","",IFERROR(INDEX(Cenarios!$B$5:$B$54,MATCH($B86,Cenarios!$A$5:$A$54,0)),"ID não encontrado"))</f>
        <v/>
      </c>
      <c r="D86" s="22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20"/>
      <c r="Q86" s="18"/>
      <c r="R86" s="18"/>
    </row>
    <row r="87" spans="1:18" x14ac:dyDescent="0.25">
      <c r="A87" s="18"/>
      <c r="B87" s="18"/>
      <c r="C87" s="17" t="str">
        <f>IF($B87="","",IFERROR(INDEX(Cenarios!$B$5:$B$54,MATCH($B87,Cenarios!$A$5:$A$54,0)),"ID não encontrado"))</f>
        <v/>
      </c>
      <c r="D87" s="22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20"/>
      <c r="Q87" s="18"/>
      <c r="R87" s="18"/>
    </row>
    <row r="88" spans="1:18" x14ac:dyDescent="0.25">
      <c r="A88" s="18"/>
      <c r="B88" s="18"/>
      <c r="C88" s="17" t="str">
        <f>IF($B88="","",IFERROR(INDEX(Cenarios!$B$5:$B$54,MATCH($B88,Cenarios!$A$5:$A$54,0)),"ID não encontrado"))</f>
        <v/>
      </c>
      <c r="D88" s="22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20"/>
      <c r="Q88" s="18"/>
      <c r="R88" s="18"/>
    </row>
    <row r="89" spans="1:18" x14ac:dyDescent="0.25">
      <c r="A89" s="18"/>
      <c r="B89" s="18"/>
      <c r="C89" s="17" t="str">
        <f>IF($B89="","",IFERROR(INDEX(Cenarios!$B$5:$B$54,MATCH($B89,Cenarios!$A$5:$A$54,0)),"ID não encontrado"))</f>
        <v/>
      </c>
      <c r="D89" s="22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20"/>
      <c r="Q89" s="18"/>
      <c r="R89" s="18"/>
    </row>
    <row r="90" spans="1:18" x14ac:dyDescent="0.25">
      <c r="A90" s="18"/>
      <c r="B90" s="18"/>
      <c r="C90" s="17" t="str">
        <f>IF($B90="","",IFERROR(INDEX(Cenarios!$B$5:$B$54,MATCH($B90,Cenarios!$A$5:$A$54,0)),"ID não encontrado"))</f>
        <v/>
      </c>
      <c r="D90" s="2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20"/>
      <c r="Q90" s="18"/>
      <c r="R90" s="18"/>
    </row>
    <row r="91" spans="1:18" x14ac:dyDescent="0.25">
      <c r="A91" s="18"/>
      <c r="B91" s="18"/>
      <c r="C91" s="17" t="str">
        <f>IF($B91="","",IFERROR(INDEX(Cenarios!$B$5:$B$54,MATCH($B91,Cenarios!$A$5:$A$54,0)),"ID não encontrado"))</f>
        <v/>
      </c>
      <c r="D91" s="2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20"/>
      <c r="Q91" s="18"/>
      <c r="R91" s="18"/>
    </row>
    <row r="92" spans="1:18" x14ac:dyDescent="0.25">
      <c r="A92" s="18"/>
      <c r="B92" s="18"/>
      <c r="C92" s="17" t="str">
        <f>IF($B92="","",IFERROR(INDEX(Cenarios!$B$5:$B$54,MATCH($B92,Cenarios!$A$5:$A$54,0)),"ID não encontrado"))</f>
        <v/>
      </c>
      <c r="D92" s="22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20"/>
      <c r="Q92" s="18"/>
      <c r="R92" s="18"/>
    </row>
    <row r="93" spans="1:18" x14ac:dyDescent="0.25">
      <c r="A93" s="18"/>
      <c r="B93" s="18"/>
      <c r="C93" s="17" t="str">
        <f>IF($B93="","",IFERROR(INDEX(Cenarios!$B$5:$B$54,MATCH($B93,Cenarios!$A$5:$A$54,0)),"ID não encontrado"))</f>
        <v/>
      </c>
      <c r="D93" s="22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20"/>
      <c r="Q93" s="18"/>
      <c r="R93" s="18"/>
    </row>
    <row r="94" spans="1:18" x14ac:dyDescent="0.25">
      <c r="A94" s="18"/>
      <c r="B94" s="18"/>
      <c r="C94" s="17" t="str">
        <f>IF($B94="","",IFERROR(INDEX(Cenarios!$B$5:$B$54,MATCH($B94,Cenarios!$A$5:$A$54,0)),"ID não encontrado"))</f>
        <v/>
      </c>
      <c r="D94" s="22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20"/>
      <c r="Q94" s="18"/>
      <c r="R94" s="18"/>
    </row>
    <row r="95" spans="1:18" x14ac:dyDescent="0.25">
      <c r="A95" s="18"/>
      <c r="B95" s="18"/>
      <c r="C95" s="17" t="str">
        <f>IF($B95="","",IFERROR(INDEX(Cenarios!$B$5:$B$54,MATCH($B95,Cenarios!$A$5:$A$54,0)),"ID não encontrado"))</f>
        <v/>
      </c>
      <c r="D95" s="22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20"/>
      <c r="Q95" s="18"/>
      <c r="R95" s="18"/>
    </row>
    <row r="96" spans="1:18" x14ac:dyDescent="0.25">
      <c r="A96" s="18"/>
      <c r="B96" s="18"/>
      <c r="C96" s="17" t="str">
        <f>IF($B96="","",IFERROR(INDEX(Cenarios!$B$5:$B$54,MATCH($B96,Cenarios!$A$5:$A$54,0)),"ID não encontrado"))</f>
        <v/>
      </c>
      <c r="D96" s="22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20"/>
      <c r="Q96" s="18"/>
      <c r="R96" s="18"/>
    </row>
    <row r="97" spans="1:18" x14ac:dyDescent="0.25">
      <c r="A97" s="18"/>
      <c r="B97" s="18"/>
      <c r="C97" s="17" t="str">
        <f>IF($B97="","",IFERROR(INDEX(Cenarios!$B$5:$B$54,MATCH($B97,Cenarios!$A$5:$A$54,0)),"ID não encontrado"))</f>
        <v/>
      </c>
      <c r="D97" s="22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20"/>
      <c r="Q97" s="18"/>
      <c r="R97" s="18"/>
    </row>
    <row r="98" spans="1:18" x14ac:dyDescent="0.25">
      <c r="A98" s="18"/>
      <c r="B98" s="18"/>
      <c r="C98" s="17" t="str">
        <f>IF($B98="","",IFERROR(INDEX(Cenarios!$B$5:$B$54,MATCH($B98,Cenarios!$A$5:$A$54,0)),"ID não encontrado"))</f>
        <v/>
      </c>
      <c r="D98" s="22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20"/>
      <c r="Q98" s="18"/>
      <c r="R98" s="18"/>
    </row>
    <row r="99" spans="1:18" x14ac:dyDescent="0.25">
      <c r="A99" s="18"/>
      <c r="B99" s="18"/>
      <c r="C99" s="17" t="str">
        <f>IF($B99="","",IFERROR(INDEX(Cenarios!$B$5:$B$54,MATCH($B99,Cenarios!$A$5:$A$54,0)),"ID não encontrado"))</f>
        <v/>
      </c>
      <c r="D99" s="22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20"/>
      <c r="Q99" s="18"/>
      <c r="R99" s="18"/>
    </row>
    <row r="100" spans="1:18" x14ac:dyDescent="0.25">
      <c r="A100" s="18"/>
      <c r="B100" s="18"/>
      <c r="C100" s="17" t="str">
        <f>IF($B100="","",IFERROR(INDEX(Cenarios!$B$5:$B$54,MATCH($B100,Cenarios!$A$5:$A$54,0)),"ID não encontrado"))</f>
        <v/>
      </c>
      <c r="D100" s="22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20"/>
      <c r="Q100" s="18"/>
      <c r="R100" s="18"/>
    </row>
    <row r="101" spans="1:18" x14ac:dyDescent="0.25">
      <c r="A101" s="18"/>
      <c r="B101" s="18"/>
      <c r="C101" s="17" t="str">
        <f>IF($B101="","",IFERROR(INDEX(Cenarios!$B$5:$B$54,MATCH($B101,Cenarios!$A$5:$A$54,0)),"ID não encontrado"))</f>
        <v/>
      </c>
      <c r="D101" s="22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20"/>
      <c r="Q101" s="18"/>
      <c r="R101" s="18"/>
    </row>
    <row r="102" spans="1:18" x14ac:dyDescent="0.25">
      <c r="A102" s="18"/>
      <c r="B102" s="18"/>
      <c r="C102" s="17" t="str">
        <f>IF($B102="","",IFERROR(INDEX(Cenarios!$B$5:$B$54,MATCH($B102,Cenarios!$A$5:$A$54,0)),"ID não encontrado"))</f>
        <v/>
      </c>
      <c r="D102" s="22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20"/>
      <c r="Q102" s="18"/>
      <c r="R102" s="18"/>
    </row>
    <row r="103" spans="1:18" x14ac:dyDescent="0.25">
      <c r="A103" s="18"/>
      <c r="B103" s="18"/>
      <c r="C103" s="17" t="str">
        <f>IF($B103="","",IFERROR(INDEX(Cenarios!$B$5:$B$54,MATCH($B103,Cenarios!$A$5:$A$54,0)),"ID não encontrado"))</f>
        <v/>
      </c>
      <c r="D103" s="22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20"/>
      <c r="Q103" s="18"/>
      <c r="R103" s="18"/>
    </row>
    <row r="104" spans="1:18" x14ac:dyDescent="0.25">
      <c r="A104" s="18"/>
      <c r="B104" s="18"/>
      <c r="C104" s="17" t="str">
        <f>IF($B104="","",IFERROR(INDEX(Cenarios!$B$5:$B$54,MATCH($B104,Cenarios!$A$5:$A$54,0)),"ID não encontrado"))</f>
        <v/>
      </c>
      <c r="D104" s="22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20"/>
      <c r="Q104" s="18"/>
      <c r="R104" s="18"/>
    </row>
    <row r="105" spans="1:18" x14ac:dyDescent="0.25">
      <c r="A105" s="18"/>
      <c r="B105" s="18"/>
      <c r="C105" s="17" t="str">
        <f>IF($B105="","",IFERROR(INDEX(Cenarios!$B$5:$B$54,MATCH($B105,Cenarios!$A$5:$A$54,0)),"ID não encontrado"))</f>
        <v/>
      </c>
      <c r="D105" s="22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20"/>
      <c r="Q105" s="18"/>
      <c r="R105" s="18"/>
    </row>
    <row r="106" spans="1:18" x14ac:dyDescent="0.25">
      <c r="A106" s="18"/>
      <c r="B106" s="18"/>
      <c r="C106" s="17" t="str">
        <f>IF($B106="","",IFERROR(INDEX(Cenarios!$B$5:$B$54,MATCH($B106,Cenarios!$A$5:$A$54,0)),"ID não encontrado"))</f>
        <v/>
      </c>
      <c r="D106" s="22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20"/>
      <c r="Q106" s="18"/>
      <c r="R106" s="18"/>
    </row>
    <row r="107" spans="1:18" x14ac:dyDescent="0.25">
      <c r="A107" s="18"/>
      <c r="B107" s="18"/>
      <c r="C107" s="17" t="str">
        <f>IF($B107="","",IFERROR(INDEX(Cenarios!$B$5:$B$54,MATCH($B107,Cenarios!$A$5:$A$54,0)),"ID não encontrado"))</f>
        <v/>
      </c>
      <c r="D107" s="22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20"/>
      <c r="Q107" s="18"/>
      <c r="R107" s="18"/>
    </row>
    <row r="108" spans="1:18" x14ac:dyDescent="0.25">
      <c r="A108" s="18"/>
      <c r="B108" s="18"/>
      <c r="C108" s="17" t="str">
        <f>IF($B108="","",IFERROR(INDEX(Cenarios!$B$5:$B$54,MATCH($B108,Cenarios!$A$5:$A$54,0)),"ID não encontrado"))</f>
        <v/>
      </c>
      <c r="D108" s="22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20"/>
      <c r="Q108" s="18"/>
      <c r="R108" s="18"/>
    </row>
    <row r="109" spans="1:18" x14ac:dyDescent="0.25">
      <c r="A109" s="18"/>
      <c r="B109" s="18"/>
      <c r="C109" s="17" t="str">
        <f>IF($B109="","",IFERROR(INDEX(Cenarios!$B$5:$B$54,MATCH($B109,Cenarios!$A$5:$A$54,0)),"ID não encontrado"))</f>
        <v/>
      </c>
      <c r="D109" s="22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20"/>
      <c r="Q109" s="18"/>
      <c r="R109" s="18"/>
    </row>
    <row r="110" spans="1:18" x14ac:dyDescent="0.25">
      <c r="A110" s="18"/>
      <c r="B110" s="18"/>
      <c r="C110" s="17" t="str">
        <f>IF($B110="","",IFERROR(INDEX(Cenarios!$B$5:$B$54,MATCH($B110,Cenarios!$A$5:$A$54,0)),"ID não encontrado"))</f>
        <v/>
      </c>
      <c r="D110" s="22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20"/>
      <c r="Q110" s="18"/>
      <c r="R110" s="18"/>
    </row>
    <row r="111" spans="1:18" x14ac:dyDescent="0.25">
      <c r="A111" s="18"/>
      <c r="B111" s="18"/>
      <c r="C111" s="17" t="str">
        <f>IF($B111="","",IFERROR(INDEX(Cenarios!$B$5:$B$54,MATCH($B111,Cenarios!$A$5:$A$54,0)),"ID não encontrado"))</f>
        <v/>
      </c>
      <c r="D111" s="22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20"/>
      <c r="Q111" s="18"/>
      <c r="R111" s="18"/>
    </row>
    <row r="112" spans="1:18" x14ac:dyDescent="0.25">
      <c r="A112" s="18"/>
      <c r="B112" s="18"/>
      <c r="C112" s="17" t="str">
        <f>IF($B112="","",IFERROR(INDEX(Cenarios!$B$5:$B$54,MATCH($B112,Cenarios!$A$5:$A$54,0)),"ID não encontrado"))</f>
        <v/>
      </c>
      <c r="D112" s="22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20"/>
      <c r="Q112" s="18"/>
      <c r="R112" s="18"/>
    </row>
    <row r="113" spans="1:18" x14ac:dyDescent="0.25">
      <c r="A113" s="18"/>
      <c r="B113" s="18"/>
      <c r="C113" s="17" t="str">
        <f>IF($B113="","",IFERROR(INDEX(Cenarios!$B$5:$B$54,MATCH($B113,Cenarios!$A$5:$A$54,0)),"ID não encontrado"))</f>
        <v/>
      </c>
      <c r="D113" s="22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20"/>
      <c r="Q113" s="18"/>
      <c r="R113" s="18"/>
    </row>
    <row r="114" spans="1:18" x14ac:dyDescent="0.25">
      <c r="A114" s="18"/>
      <c r="B114" s="18"/>
      <c r="C114" s="17" t="str">
        <f>IF($B114="","",IFERROR(INDEX(Cenarios!$B$5:$B$54,MATCH($B114,Cenarios!$A$5:$A$54,0)),"ID não encontrado"))</f>
        <v/>
      </c>
      <c r="D114" s="22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20"/>
      <c r="Q114" s="18"/>
      <c r="R114" s="18"/>
    </row>
    <row r="115" spans="1:18" x14ac:dyDescent="0.25">
      <c r="A115" s="18"/>
      <c r="B115" s="18"/>
      <c r="C115" s="17" t="str">
        <f>IF($B115="","",IFERROR(INDEX(Cenarios!$B$5:$B$54,MATCH($B115,Cenarios!$A$5:$A$54,0)),"ID não encontrado"))</f>
        <v/>
      </c>
      <c r="D115" s="22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20"/>
      <c r="Q115" s="18"/>
      <c r="R115" s="18"/>
    </row>
    <row r="116" spans="1:18" x14ac:dyDescent="0.25">
      <c r="A116" s="18"/>
      <c r="B116" s="18"/>
      <c r="C116" s="17" t="str">
        <f>IF($B116="","",IFERROR(INDEX(Cenarios!$B$5:$B$54,MATCH($B116,Cenarios!$A$5:$A$54,0)),"ID não encontrado"))</f>
        <v/>
      </c>
      <c r="D116" s="22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20"/>
      <c r="Q116" s="18"/>
      <c r="R116" s="18"/>
    </row>
    <row r="117" spans="1:18" x14ac:dyDescent="0.25">
      <c r="A117" s="18"/>
      <c r="B117" s="18"/>
      <c r="C117" s="17" t="str">
        <f>IF($B117="","",IFERROR(INDEX(Cenarios!$B$5:$B$54,MATCH($B117,Cenarios!$A$5:$A$54,0)),"ID não encontrado"))</f>
        <v/>
      </c>
      <c r="D117" s="22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20"/>
      <c r="Q117" s="18"/>
      <c r="R117" s="18"/>
    </row>
    <row r="118" spans="1:18" x14ac:dyDescent="0.25">
      <c r="A118" s="18"/>
      <c r="B118" s="18"/>
      <c r="C118" s="17" t="str">
        <f>IF($B118="","",IFERROR(INDEX(Cenarios!$B$5:$B$54,MATCH($B118,Cenarios!$A$5:$A$54,0)),"ID não encontrado"))</f>
        <v/>
      </c>
      <c r="D118" s="22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20"/>
      <c r="Q118" s="18"/>
      <c r="R118" s="18"/>
    </row>
    <row r="119" spans="1:18" x14ac:dyDescent="0.25">
      <c r="A119" s="18"/>
      <c r="B119" s="18"/>
      <c r="C119" s="17" t="str">
        <f>IF($B119="","",IFERROR(INDEX(Cenarios!$B$5:$B$54,MATCH($B119,Cenarios!$A$5:$A$54,0)),"ID não encontrado"))</f>
        <v/>
      </c>
      <c r="D119" s="22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20"/>
      <c r="Q119" s="18"/>
      <c r="R119" s="18"/>
    </row>
    <row r="120" spans="1:18" x14ac:dyDescent="0.25">
      <c r="A120" s="18"/>
      <c r="B120" s="18"/>
      <c r="C120" s="17" t="str">
        <f>IF($B120="","",IFERROR(INDEX(Cenarios!$B$5:$B$54,MATCH($B120,Cenarios!$A$5:$A$54,0)),"ID não encontrado"))</f>
        <v/>
      </c>
      <c r="D120" s="22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20"/>
      <c r="Q120" s="18"/>
      <c r="R120" s="18"/>
    </row>
    <row r="121" spans="1:18" x14ac:dyDescent="0.25">
      <c r="A121" s="18"/>
      <c r="B121" s="18"/>
      <c r="C121" s="17" t="str">
        <f>IF($B121="","",IFERROR(INDEX(Cenarios!$B$5:$B$54,MATCH($B121,Cenarios!$A$5:$A$54,0)),"ID não encontrado"))</f>
        <v/>
      </c>
      <c r="D121" s="22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20"/>
      <c r="Q121" s="18"/>
      <c r="R121" s="18"/>
    </row>
    <row r="122" spans="1:18" x14ac:dyDescent="0.25">
      <c r="A122" s="18"/>
      <c r="B122" s="18"/>
      <c r="C122" s="17" t="str">
        <f>IF($B122="","",IFERROR(INDEX(Cenarios!$B$5:$B$54,MATCH($B122,Cenarios!$A$5:$A$54,0)),"ID não encontrado"))</f>
        <v/>
      </c>
      <c r="D122" s="22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20"/>
      <c r="Q122" s="18"/>
      <c r="R122" s="18"/>
    </row>
    <row r="123" spans="1:18" x14ac:dyDescent="0.25">
      <c r="A123" s="18"/>
      <c r="B123" s="18"/>
      <c r="C123" s="17" t="str">
        <f>IF($B123="","",IFERROR(INDEX(Cenarios!$B$5:$B$54,MATCH($B123,Cenarios!$A$5:$A$54,0)),"ID não encontrado"))</f>
        <v/>
      </c>
      <c r="D123" s="22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20"/>
      <c r="Q123" s="18"/>
      <c r="R123" s="18"/>
    </row>
    <row r="124" spans="1:18" x14ac:dyDescent="0.25">
      <c r="A124" s="18"/>
      <c r="B124" s="18"/>
      <c r="C124" s="17" t="str">
        <f>IF($B124="","",IFERROR(INDEX(Cenarios!$B$5:$B$54,MATCH($B124,Cenarios!$A$5:$A$54,0)),"ID não encontrado"))</f>
        <v/>
      </c>
      <c r="D124" s="22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20"/>
      <c r="Q124" s="18"/>
      <c r="R124" s="18"/>
    </row>
    <row r="125" spans="1:18" x14ac:dyDescent="0.25">
      <c r="A125" s="18"/>
      <c r="B125" s="18"/>
      <c r="C125" s="17" t="str">
        <f>IF($B125="","",IFERROR(INDEX(Cenarios!$B$5:$B$54,MATCH($B125,Cenarios!$A$5:$A$54,0)),"ID não encontrado"))</f>
        <v/>
      </c>
      <c r="D125" s="22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20"/>
      <c r="Q125" s="18"/>
      <c r="R125" s="18"/>
    </row>
    <row r="126" spans="1:18" x14ac:dyDescent="0.25">
      <c r="A126" s="18"/>
      <c r="B126" s="18"/>
      <c r="C126" s="17" t="str">
        <f>IF($B126="","",IFERROR(INDEX(Cenarios!$B$5:$B$54,MATCH($B126,Cenarios!$A$5:$A$54,0)),"ID não encontrado"))</f>
        <v/>
      </c>
      <c r="D126" s="22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20"/>
      <c r="Q126" s="18"/>
      <c r="R126" s="18"/>
    </row>
    <row r="127" spans="1:18" x14ac:dyDescent="0.25">
      <c r="A127" s="18"/>
      <c r="B127" s="18"/>
      <c r="C127" s="17" t="str">
        <f>IF($B127="","",IFERROR(INDEX(Cenarios!$B$5:$B$54,MATCH($B127,Cenarios!$A$5:$A$54,0)),"ID não encontrado"))</f>
        <v/>
      </c>
      <c r="D127" s="22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20"/>
      <c r="Q127" s="18"/>
      <c r="R127" s="18"/>
    </row>
    <row r="128" spans="1:18" x14ac:dyDescent="0.25">
      <c r="A128" s="18"/>
      <c r="B128" s="18"/>
      <c r="C128" s="17" t="str">
        <f>IF($B128="","",IFERROR(INDEX(Cenarios!$B$5:$B$54,MATCH($B128,Cenarios!$A$5:$A$54,0)),"ID não encontrado"))</f>
        <v/>
      </c>
      <c r="D128" s="22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20"/>
      <c r="Q128" s="18"/>
      <c r="R128" s="18"/>
    </row>
    <row r="129" spans="1:18" x14ac:dyDescent="0.25">
      <c r="A129" s="18"/>
      <c r="B129" s="18"/>
      <c r="C129" s="17" t="str">
        <f>IF($B129="","",IFERROR(INDEX(Cenarios!$B$5:$B$54,MATCH($B129,Cenarios!$A$5:$A$54,0)),"ID não encontrado"))</f>
        <v/>
      </c>
      <c r="D129" s="22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20"/>
      <c r="Q129" s="18"/>
      <c r="R129" s="18"/>
    </row>
    <row r="130" spans="1:18" x14ac:dyDescent="0.25">
      <c r="A130" s="18"/>
      <c r="B130" s="18"/>
      <c r="C130" s="17" t="str">
        <f>IF($B130="","",IFERROR(INDEX(Cenarios!$B$5:$B$54,MATCH($B130,Cenarios!$A$5:$A$54,0)),"ID não encontrado"))</f>
        <v/>
      </c>
      <c r="D130" s="22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20"/>
      <c r="Q130" s="18"/>
      <c r="R130" s="18"/>
    </row>
    <row r="131" spans="1:18" x14ac:dyDescent="0.25">
      <c r="A131" s="18"/>
      <c r="B131" s="18"/>
      <c r="C131" s="17" t="str">
        <f>IF($B131="","",IFERROR(INDEX(Cenarios!$B$5:$B$54,MATCH($B131,Cenarios!$A$5:$A$54,0)),"ID não encontrado"))</f>
        <v/>
      </c>
      <c r="D131" s="22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20"/>
      <c r="Q131" s="18"/>
      <c r="R131" s="18"/>
    </row>
    <row r="132" spans="1:18" x14ac:dyDescent="0.25">
      <c r="A132" s="18"/>
      <c r="B132" s="18"/>
      <c r="C132" s="17" t="str">
        <f>IF($B132="","",IFERROR(INDEX(Cenarios!$B$5:$B$54,MATCH($B132,Cenarios!$A$5:$A$54,0)),"ID não encontrado"))</f>
        <v/>
      </c>
      <c r="D132" s="22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20"/>
      <c r="Q132" s="18"/>
      <c r="R132" s="18"/>
    </row>
    <row r="133" spans="1:18" x14ac:dyDescent="0.25">
      <c r="A133" s="18"/>
      <c r="B133" s="18"/>
      <c r="C133" s="17" t="str">
        <f>IF($B133="","",IFERROR(INDEX(Cenarios!$B$5:$B$54,MATCH($B133,Cenarios!$A$5:$A$54,0)),"ID não encontrado"))</f>
        <v/>
      </c>
      <c r="D133" s="22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20"/>
      <c r="Q133" s="18"/>
      <c r="R133" s="18"/>
    </row>
    <row r="134" spans="1:18" x14ac:dyDescent="0.25">
      <c r="A134" s="18"/>
      <c r="B134" s="18"/>
      <c r="C134" s="17" t="str">
        <f>IF($B134="","",IFERROR(INDEX(Cenarios!$B$5:$B$54,MATCH($B134,Cenarios!$A$5:$A$54,0)),"ID não encontrado"))</f>
        <v/>
      </c>
      <c r="D134" s="22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20"/>
      <c r="Q134" s="18"/>
      <c r="R134" s="18"/>
    </row>
    <row r="135" spans="1:18" x14ac:dyDescent="0.25">
      <c r="A135" s="18"/>
      <c r="B135" s="18"/>
      <c r="C135" s="17" t="str">
        <f>IF($B135="","",IFERROR(INDEX(Cenarios!$B$5:$B$54,MATCH($B135,Cenarios!$A$5:$A$54,0)),"ID não encontrado"))</f>
        <v/>
      </c>
      <c r="D135" s="22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20"/>
      <c r="Q135" s="18"/>
      <c r="R135" s="18"/>
    </row>
    <row r="136" spans="1:18" x14ac:dyDescent="0.25">
      <c r="A136" s="18"/>
      <c r="B136" s="18"/>
      <c r="C136" s="17" t="str">
        <f>IF($B136="","",IFERROR(INDEX(Cenarios!$B$5:$B$54,MATCH($B136,Cenarios!$A$5:$A$54,0)),"ID não encontrado"))</f>
        <v/>
      </c>
      <c r="D136" s="22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20"/>
      <c r="Q136" s="18"/>
      <c r="R136" s="18"/>
    </row>
    <row r="137" spans="1:18" x14ac:dyDescent="0.25">
      <c r="A137" s="18"/>
      <c r="B137" s="18"/>
      <c r="C137" s="17" t="str">
        <f>IF($B137="","",IFERROR(INDEX(Cenarios!$B$5:$B$54,MATCH($B137,Cenarios!$A$5:$A$54,0)),"ID não encontrado"))</f>
        <v/>
      </c>
      <c r="D137" s="22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20"/>
      <c r="Q137" s="18"/>
      <c r="R137" s="18"/>
    </row>
    <row r="138" spans="1:18" x14ac:dyDescent="0.25">
      <c r="A138" s="18"/>
      <c r="B138" s="18"/>
      <c r="C138" s="17" t="str">
        <f>IF($B138="","",IFERROR(INDEX(Cenarios!$B$5:$B$54,MATCH($B138,Cenarios!$A$5:$A$54,0)),"ID não encontrado"))</f>
        <v/>
      </c>
      <c r="D138" s="22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20"/>
      <c r="Q138" s="18"/>
      <c r="R138" s="18"/>
    </row>
    <row r="139" spans="1:18" x14ac:dyDescent="0.25">
      <c r="A139" s="18"/>
      <c r="B139" s="18"/>
      <c r="C139" s="17" t="str">
        <f>IF($B139="","",IFERROR(INDEX(Cenarios!$B$5:$B$54,MATCH($B139,Cenarios!$A$5:$A$54,0)),"ID não encontrado"))</f>
        <v/>
      </c>
      <c r="D139" s="22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20"/>
      <c r="Q139" s="18"/>
      <c r="R139" s="18"/>
    </row>
    <row r="140" spans="1:18" x14ac:dyDescent="0.25">
      <c r="A140" s="18"/>
      <c r="B140" s="18"/>
      <c r="C140" s="17" t="str">
        <f>IF($B140="","",IFERROR(INDEX(Cenarios!$B$5:$B$54,MATCH($B140,Cenarios!$A$5:$A$54,0)),"ID não encontrado"))</f>
        <v/>
      </c>
      <c r="D140" s="22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20"/>
      <c r="Q140" s="18"/>
      <c r="R140" s="18"/>
    </row>
    <row r="141" spans="1:18" x14ac:dyDescent="0.25">
      <c r="A141" s="18"/>
      <c r="B141" s="18"/>
      <c r="C141" s="17" t="str">
        <f>IF($B141="","",IFERROR(INDEX(Cenarios!$B$5:$B$54,MATCH($B141,Cenarios!$A$5:$A$54,0)),"ID não encontrado"))</f>
        <v/>
      </c>
      <c r="D141" s="22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20"/>
      <c r="Q141" s="18"/>
      <c r="R141" s="18"/>
    </row>
    <row r="142" spans="1:18" x14ac:dyDescent="0.25">
      <c r="A142" s="18"/>
      <c r="B142" s="18"/>
      <c r="C142" s="17" t="str">
        <f>IF($B142="","",IFERROR(INDEX(Cenarios!$B$5:$B$54,MATCH($B142,Cenarios!$A$5:$A$54,0)),"ID não encontrado"))</f>
        <v/>
      </c>
      <c r="D142" s="22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20"/>
      <c r="Q142" s="18"/>
      <c r="R142" s="18"/>
    </row>
    <row r="143" spans="1:18" x14ac:dyDescent="0.25">
      <c r="A143" s="18"/>
      <c r="B143" s="18"/>
      <c r="C143" s="17" t="str">
        <f>IF($B143="","",IFERROR(INDEX(Cenarios!$B$5:$B$54,MATCH($B143,Cenarios!$A$5:$A$54,0)),"ID não encontrado"))</f>
        <v/>
      </c>
      <c r="D143" s="22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20"/>
      <c r="Q143" s="18"/>
      <c r="R143" s="18"/>
    </row>
    <row r="144" spans="1:18" x14ac:dyDescent="0.25">
      <c r="A144" s="18"/>
      <c r="B144" s="18"/>
      <c r="C144" s="17" t="str">
        <f>IF($B144="","",IFERROR(INDEX(Cenarios!$B$5:$B$54,MATCH($B144,Cenarios!$A$5:$A$54,0)),"ID não encontrado"))</f>
        <v/>
      </c>
      <c r="D144" s="22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20"/>
      <c r="Q144" s="18"/>
      <c r="R144" s="18"/>
    </row>
    <row r="145" spans="1:18" x14ac:dyDescent="0.25">
      <c r="A145" s="18"/>
      <c r="B145" s="18"/>
      <c r="C145" s="17" t="str">
        <f>IF($B145="","",IFERROR(INDEX(Cenarios!$B$5:$B$54,MATCH($B145,Cenarios!$A$5:$A$54,0)),"ID não encontrado"))</f>
        <v/>
      </c>
      <c r="D145" s="22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20"/>
      <c r="Q145" s="18"/>
      <c r="R145" s="18"/>
    </row>
    <row r="146" spans="1:18" x14ac:dyDescent="0.25">
      <c r="A146" s="18"/>
      <c r="B146" s="18"/>
      <c r="C146" s="17" t="str">
        <f>IF($B146="","",IFERROR(INDEX(Cenarios!$B$5:$B$54,MATCH($B146,Cenarios!$A$5:$A$54,0)),"ID não encontrado"))</f>
        <v/>
      </c>
      <c r="D146" s="22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20"/>
      <c r="Q146" s="18"/>
      <c r="R146" s="18"/>
    </row>
    <row r="147" spans="1:18" x14ac:dyDescent="0.25">
      <c r="A147" s="18"/>
      <c r="B147" s="18"/>
      <c r="C147" s="17" t="str">
        <f>IF($B147="","",IFERROR(INDEX(Cenarios!$B$5:$B$54,MATCH($B147,Cenarios!$A$5:$A$54,0)),"ID não encontrado"))</f>
        <v/>
      </c>
      <c r="D147" s="22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20"/>
      <c r="Q147" s="18"/>
      <c r="R147" s="18"/>
    </row>
    <row r="148" spans="1:18" x14ac:dyDescent="0.25">
      <c r="A148" s="18"/>
      <c r="B148" s="18"/>
      <c r="C148" s="17" t="str">
        <f>IF($B148="","",IFERROR(INDEX(Cenarios!$B$5:$B$54,MATCH($B148,Cenarios!$A$5:$A$54,0)),"ID não encontrado"))</f>
        <v/>
      </c>
      <c r="D148" s="22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20"/>
      <c r="Q148" s="18"/>
      <c r="R148" s="18"/>
    </row>
    <row r="149" spans="1:18" x14ac:dyDescent="0.25">
      <c r="A149" s="18"/>
      <c r="B149" s="18"/>
      <c r="C149" s="17" t="str">
        <f>IF($B149="","",IFERROR(INDEX(Cenarios!$B$5:$B$54,MATCH($B149,Cenarios!$A$5:$A$54,0)),"ID não encontrado"))</f>
        <v/>
      </c>
      <c r="D149" s="22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20"/>
      <c r="Q149" s="18"/>
      <c r="R149" s="18"/>
    </row>
    <row r="150" spans="1:18" x14ac:dyDescent="0.25">
      <c r="A150" s="18"/>
      <c r="B150" s="18"/>
      <c r="C150" s="17" t="str">
        <f>IF($B150="","",IFERROR(INDEX(Cenarios!$B$5:$B$54,MATCH($B150,Cenarios!$A$5:$A$54,0)),"ID não encontrado"))</f>
        <v/>
      </c>
      <c r="D150" s="22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20"/>
      <c r="Q150" s="18"/>
      <c r="R150" s="18"/>
    </row>
    <row r="151" spans="1:18" x14ac:dyDescent="0.25">
      <c r="A151" s="18"/>
      <c r="B151" s="18"/>
      <c r="C151" s="17" t="str">
        <f>IF($B151="","",IFERROR(INDEX(Cenarios!$B$5:$B$54,MATCH($B151,Cenarios!$A$5:$A$54,0)),"ID não encontrado"))</f>
        <v/>
      </c>
      <c r="D151" s="22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20"/>
      <c r="Q151" s="18"/>
      <c r="R151" s="18"/>
    </row>
    <row r="152" spans="1:18" x14ac:dyDescent="0.25">
      <c r="A152" s="18"/>
      <c r="B152" s="18"/>
      <c r="C152" s="17" t="str">
        <f>IF($B152="","",IFERROR(INDEX(Cenarios!$B$5:$B$54,MATCH($B152,Cenarios!$A$5:$A$54,0)),"ID não encontrado"))</f>
        <v/>
      </c>
      <c r="D152" s="22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20"/>
      <c r="Q152" s="18"/>
      <c r="R152" s="18"/>
    </row>
    <row r="153" spans="1:18" x14ac:dyDescent="0.25">
      <c r="A153" s="18"/>
      <c r="B153" s="18"/>
      <c r="C153" s="17" t="str">
        <f>IF($B153="","",IFERROR(INDEX(Cenarios!$B$5:$B$54,MATCH($B153,Cenarios!$A$5:$A$54,0)),"ID não encontrado"))</f>
        <v/>
      </c>
      <c r="D153" s="22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20"/>
      <c r="Q153" s="18"/>
      <c r="R153" s="18"/>
    </row>
    <row r="154" spans="1:18" x14ac:dyDescent="0.25">
      <c r="A154" s="18"/>
      <c r="B154" s="18"/>
      <c r="C154" s="17" t="str">
        <f>IF($B154="","",IFERROR(INDEX(Cenarios!$B$5:$B$54,MATCH($B154,Cenarios!$A$5:$A$54,0)),"ID não encontrado"))</f>
        <v/>
      </c>
      <c r="D154" s="22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20"/>
      <c r="Q154" s="18"/>
      <c r="R154" s="18"/>
    </row>
    <row r="155" spans="1:18" x14ac:dyDescent="0.25">
      <c r="A155" s="18"/>
      <c r="B155" s="18"/>
      <c r="C155" s="17" t="str">
        <f>IF($B155="","",IFERROR(INDEX(Cenarios!$B$5:$B$54,MATCH($B155,Cenarios!$A$5:$A$54,0)),"ID não encontrado"))</f>
        <v/>
      </c>
      <c r="D155" s="22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20"/>
      <c r="Q155" s="18"/>
      <c r="R155" s="18"/>
    </row>
    <row r="156" spans="1:18" x14ac:dyDescent="0.25">
      <c r="A156" s="18"/>
      <c r="B156" s="18"/>
      <c r="C156" s="17" t="str">
        <f>IF($B156="","",IFERROR(INDEX(Cenarios!$B$5:$B$54,MATCH($B156,Cenarios!$A$5:$A$54,0)),"ID não encontrado"))</f>
        <v/>
      </c>
      <c r="D156" s="22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20"/>
      <c r="Q156" s="18"/>
      <c r="R156" s="18"/>
    </row>
    <row r="157" spans="1:18" x14ac:dyDescent="0.25">
      <c r="A157" s="18"/>
      <c r="B157" s="18"/>
      <c r="C157" s="17" t="str">
        <f>IF($B157="","",IFERROR(INDEX(Cenarios!$B$5:$B$54,MATCH($B157,Cenarios!$A$5:$A$54,0)),"ID não encontrado"))</f>
        <v/>
      </c>
      <c r="D157" s="22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20"/>
      <c r="Q157" s="18"/>
      <c r="R157" s="18"/>
    </row>
    <row r="158" spans="1:18" x14ac:dyDescent="0.25">
      <c r="A158" s="18"/>
      <c r="B158" s="18"/>
      <c r="C158" s="17" t="str">
        <f>IF($B158="","",IFERROR(INDEX(Cenarios!$B$5:$B$54,MATCH($B158,Cenarios!$A$5:$A$54,0)),"ID não encontrado"))</f>
        <v/>
      </c>
      <c r="D158" s="22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20"/>
      <c r="Q158" s="18"/>
      <c r="R158" s="18"/>
    </row>
    <row r="159" spans="1:18" x14ac:dyDescent="0.25">
      <c r="A159" s="18"/>
      <c r="B159" s="18"/>
      <c r="C159" s="17" t="str">
        <f>IF($B159="","",IFERROR(INDEX(Cenarios!$B$5:$B$54,MATCH($B159,Cenarios!$A$5:$A$54,0)),"ID não encontrado"))</f>
        <v/>
      </c>
      <c r="D159" s="22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20"/>
      <c r="Q159" s="18"/>
      <c r="R159" s="18"/>
    </row>
    <row r="160" spans="1:18" x14ac:dyDescent="0.25">
      <c r="A160" s="18"/>
      <c r="B160" s="18"/>
      <c r="C160" s="17" t="str">
        <f>IF($B160="","",IFERROR(INDEX(Cenarios!$B$5:$B$54,MATCH($B160,Cenarios!$A$5:$A$54,0)),"ID não encontrado"))</f>
        <v/>
      </c>
      <c r="D160" s="22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20"/>
      <c r="Q160" s="18"/>
      <c r="R160" s="18"/>
    </row>
    <row r="161" spans="1:18" x14ac:dyDescent="0.25">
      <c r="A161" s="18"/>
      <c r="B161" s="18"/>
      <c r="C161" s="17" t="str">
        <f>IF($B161="","",IFERROR(INDEX(Cenarios!$B$5:$B$54,MATCH($B161,Cenarios!$A$5:$A$54,0)),"ID não encontrado"))</f>
        <v/>
      </c>
      <c r="D161" s="22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20"/>
      <c r="Q161" s="18"/>
      <c r="R161" s="18"/>
    </row>
    <row r="162" spans="1:18" x14ac:dyDescent="0.25">
      <c r="A162" s="18"/>
      <c r="B162" s="18"/>
      <c r="C162" s="17" t="str">
        <f>IF($B162="","",IFERROR(INDEX(Cenarios!$B$5:$B$54,MATCH($B162,Cenarios!$A$5:$A$54,0)),"ID não encontrado"))</f>
        <v/>
      </c>
      <c r="D162" s="22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20"/>
      <c r="Q162" s="18"/>
      <c r="R162" s="18"/>
    </row>
    <row r="163" spans="1:18" x14ac:dyDescent="0.25">
      <c r="A163" s="18"/>
      <c r="B163" s="18"/>
      <c r="C163" s="17" t="str">
        <f>IF($B163="","",IFERROR(INDEX(Cenarios!$B$5:$B$54,MATCH($B163,Cenarios!$A$5:$A$54,0)),"ID não encontrado"))</f>
        <v/>
      </c>
      <c r="D163" s="22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20"/>
      <c r="Q163" s="18"/>
      <c r="R163" s="18"/>
    </row>
    <row r="164" spans="1:18" x14ac:dyDescent="0.25">
      <c r="A164" s="18"/>
      <c r="B164" s="18"/>
      <c r="C164" s="17" t="str">
        <f>IF($B164="","",IFERROR(INDEX(Cenarios!$B$5:$B$54,MATCH($B164,Cenarios!$A$5:$A$54,0)),"ID não encontrado"))</f>
        <v/>
      </c>
      <c r="D164" s="22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20"/>
      <c r="Q164" s="18"/>
      <c r="R164" s="18"/>
    </row>
    <row r="165" spans="1:18" x14ac:dyDescent="0.25">
      <c r="A165" s="18"/>
      <c r="B165" s="18"/>
      <c r="C165" s="17" t="str">
        <f>IF($B165="","",IFERROR(INDEX(Cenarios!$B$5:$B$54,MATCH($B165,Cenarios!$A$5:$A$54,0)),"ID não encontrado"))</f>
        <v/>
      </c>
      <c r="D165" s="22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20"/>
      <c r="Q165" s="18"/>
      <c r="R165" s="18"/>
    </row>
    <row r="166" spans="1:18" x14ac:dyDescent="0.25">
      <c r="A166" s="18"/>
      <c r="B166" s="18"/>
      <c r="C166" s="17" t="str">
        <f>IF($B166="","",IFERROR(INDEX(Cenarios!$B$5:$B$54,MATCH($B166,Cenarios!$A$5:$A$54,0)),"ID não encontrado"))</f>
        <v/>
      </c>
      <c r="D166" s="22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20"/>
      <c r="Q166" s="18"/>
      <c r="R166" s="18"/>
    </row>
    <row r="167" spans="1:18" x14ac:dyDescent="0.25">
      <c r="A167" s="18"/>
      <c r="B167" s="18"/>
      <c r="C167" s="17" t="str">
        <f>IF($B167="","",IFERROR(INDEX(Cenarios!$B$5:$B$54,MATCH($B167,Cenarios!$A$5:$A$54,0)),"ID não encontrado"))</f>
        <v/>
      </c>
      <c r="D167" s="22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20"/>
      <c r="Q167" s="18"/>
      <c r="R167" s="18"/>
    </row>
    <row r="168" spans="1:18" x14ac:dyDescent="0.25">
      <c r="A168" s="18"/>
      <c r="B168" s="18"/>
      <c r="C168" s="17" t="str">
        <f>IF($B168="","",IFERROR(INDEX(Cenarios!$B$5:$B$54,MATCH($B168,Cenarios!$A$5:$A$54,0)),"ID não encontrado"))</f>
        <v/>
      </c>
      <c r="D168" s="22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20"/>
      <c r="Q168" s="18"/>
      <c r="R168" s="18"/>
    </row>
    <row r="169" spans="1:18" x14ac:dyDescent="0.25">
      <c r="A169" s="18"/>
      <c r="B169" s="18"/>
      <c r="C169" s="17" t="str">
        <f>IF($B169="","",IFERROR(INDEX(Cenarios!$B$5:$B$54,MATCH($B169,Cenarios!$A$5:$A$54,0)),"ID não encontrado"))</f>
        <v/>
      </c>
      <c r="D169" s="22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20"/>
      <c r="Q169" s="18"/>
      <c r="R169" s="18"/>
    </row>
    <row r="170" spans="1:18" x14ac:dyDescent="0.25">
      <c r="A170" s="18"/>
      <c r="B170" s="18"/>
      <c r="C170" s="17" t="str">
        <f>IF($B170="","",IFERROR(INDEX(Cenarios!$B$5:$B$54,MATCH($B170,Cenarios!$A$5:$A$54,0)),"ID não encontrado"))</f>
        <v/>
      </c>
      <c r="D170" s="22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20"/>
      <c r="Q170" s="18"/>
      <c r="R170" s="18"/>
    </row>
    <row r="171" spans="1:18" x14ac:dyDescent="0.25">
      <c r="A171" s="18"/>
      <c r="B171" s="18"/>
      <c r="C171" s="17" t="str">
        <f>IF($B171="","",IFERROR(INDEX(Cenarios!$B$5:$B$54,MATCH($B171,Cenarios!$A$5:$A$54,0)),"ID não encontrado"))</f>
        <v/>
      </c>
      <c r="D171" s="22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20"/>
      <c r="Q171" s="18"/>
      <c r="R171" s="18"/>
    </row>
    <row r="172" spans="1:18" x14ac:dyDescent="0.25">
      <c r="A172" s="18"/>
      <c r="B172" s="18"/>
      <c r="C172" s="17" t="str">
        <f>IF($B172="","",IFERROR(INDEX(Cenarios!$B$5:$B$54,MATCH($B172,Cenarios!$A$5:$A$54,0)),"ID não encontrado"))</f>
        <v/>
      </c>
      <c r="D172" s="22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20"/>
      <c r="Q172" s="18"/>
      <c r="R172" s="18"/>
    </row>
    <row r="173" spans="1:18" x14ac:dyDescent="0.25">
      <c r="A173" s="18"/>
      <c r="B173" s="18"/>
      <c r="C173" s="17" t="str">
        <f>IF($B173="","",IFERROR(INDEX(Cenarios!$B$5:$B$54,MATCH($B173,Cenarios!$A$5:$A$54,0)),"ID não encontrado"))</f>
        <v/>
      </c>
      <c r="D173" s="22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20"/>
      <c r="Q173" s="18"/>
      <c r="R173" s="18"/>
    </row>
    <row r="174" spans="1:18" x14ac:dyDescent="0.25">
      <c r="A174" s="18"/>
      <c r="B174" s="18"/>
      <c r="C174" s="17" t="str">
        <f>IF($B174="","",IFERROR(INDEX(Cenarios!$B$5:$B$54,MATCH($B174,Cenarios!$A$5:$A$54,0)),"ID não encontrado"))</f>
        <v/>
      </c>
      <c r="D174" s="22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20"/>
      <c r="Q174" s="18"/>
      <c r="R174" s="18"/>
    </row>
    <row r="175" spans="1:18" x14ac:dyDescent="0.25">
      <c r="A175" s="18"/>
      <c r="B175" s="18"/>
      <c r="C175" s="17" t="str">
        <f>IF($B175="","",IFERROR(INDEX(Cenarios!$B$5:$B$54,MATCH($B175,Cenarios!$A$5:$A$54,0)),"ID não encontrado"))</f>
        <v/>
      </c>
      <c r="D175" s="22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20"/>
      <c r="Q175" s="18"/>
      <c r="R175" s="18"/>
    </row>
    <row r="176" spans="1:18" x14ac:dyDescent="0.25">
      <c r="A176" s="18"/>
      <c r="B176" s="18"/>
      <c r="C176" s="17" t="str">
        <f>IF($B176="","",IFERROR(INDEX(Cenarios!$B$5:$B$54,MATCH($B176,Cenarios!$A$5:$A$54,0)),"ID não encontrado"))</f>
        <v/>
      </c>
      <c r="D176" s="22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20"/>
      <c r="Q176" s="18"/>
      <c r="R176" s="18"/>
    </row>
    <row r="177" spans="1:18" x14ac:dyDescent="0.25">
      <c r="A177" s="18"/>
      <c r="B177" s="18"/>
      <c r="C177" s="17" t="str">
        <f>IF($B177="","",IFERROR(INDEX(Cenarios!$B$5:$B$54,MATCH($B177,Cenarios!$A$5:$A$54,0)),"ID não encontrado"))</f>
        <v/>
      </c>
      <c r="D177" s="22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20"/>
      <c r="Q177" s="18"/>
      <c r="R177" s="18"/>
    </row>
    <row r="178" spans="1:18" x14ac:dyDescent="0.25">
      <c r="A178" s="18"/>
      <c r="B178" s="18"/>
      <c r="C178" s="17" t="str">
        <f>IF($B178="","",IFERROR(INDEX(Cenarios!$B$5:$B$54,MATCH($B178,Cenarios!$A$5:$A$54,0)),"ID não encontrado"))</f>
        <v/>
      </c>
      <c r="D178" s="22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20"/>
      <c r="Q178" s="18"/>
      <c r="R178" s="18"/>
    </row>
    <row r="179" spans="1:18" x14ac:dyDescent="0.25">
      <c r="A179" s="18"/>
      <c r="B179" s="18"/>
      <c r="C179" s="17" t="str">
        <f>IF($B179="","",IFERROR(INDEX(Cenarios!$B$5:$B$54,MATCH($B179,Cenarios!$A$5:$A$54,0)),"ID não encontrado"))</f>
        <v/>
      </c>
      <c r="D179" s="22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20"/>
      <c r="Q179" s="18"/>
      <c r="R179" s="18"/>
    </row>
    <row r="180" spans="1:18" x14ac:dyDescent="0.25">
      <c r="A180" s="18"/>
      <c r="B180" s="18"/>
      <c r="C180" s="17" t="str">
        <f>IF($B180="","",IFERROR(INDEX(Cenarios!$B$5:$B$54,MATCH($B180,Cenarios!$A$5:$A$54,0)),"ID não encontrado"))</f>
        <v/>
      </c>
      <c r="D180" s="22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20"/>
      <c r="Q180" s="18"/>
      <c r="R180" s="18"/>
    </row>
    <row r="181" spans="1:18" x14ac:dyDescent="0.25">
      <c r="A181" s="18"/>
      <c r="B181" s="18"/>
      <c r="C181" s="17" t="str">
        <f>IF($B181="","",IFERROR(INDEX(Cenarios!$B$5:$B$54,MATCH($B181,Cenarios!$A$5:$A$54,0)),"ID não encontrado"))</f>
        <v/>
      </c>
      <c r="D181" s="22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20"/>
      <c r="Q181" s="18"/>
      <c r="R181" s="18"/>
    </row>
    <row r="182" spans="1:18" x14ac:dyDescent="0.25">
      <c r="A182" s="18"/>
      <c r="B182" s="18"/>
      <c r="C182" s="17" t="str">
        <f>IF($B182="","",IFERROR(INDEX(Cenarios!$B$5:$B$54,MATCH($B182,Cenarios!$A$5:$A$54,0)),"ID não encontrado"))</f>
        <v/>
      </c>
      <c r="D182" s="22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20"/>
      <c r="Q182" s="18"/>
      <c r="R182" s="18"/>
    </row>
    <row r="183" spans="1:18" x14ac:dyDescent="0.25">
      <c r="A183" s="18"/>
      <c r="B183" s="18"/>
      <c r="C183" s="17" t="str">
        <f>IF($B183="","",IFERROR(INDEX(Cenarios!$B$5:$B$54,MATCH($B183,Cenarios!$A$5:$A$54,0)),"ID não encontrado"))</f>
        <v/>
      </c>
      <c r="D183" s="22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20"/>
      <c r="Q183" s="18"/>
      <c r="R183" s="18"/>
    </row>
    <row r="184" spans="1:18" x14ac:dyDescent="0.25">
      <c r="A184" s="18"/>
      <c r="B184" s="18"/>
      <c r="C184" s="17" t="str">
        <f>IF($B184="","",IFERROR(INDEX(Cenarios!$B$5:$B$54,MATCH($B184,Cenarios!$A$5:$A$54,0)),"ID não encontrado"))</f>
        <v/>
      </c>
      <c r="D184" s="22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20"/>
      <c r="Q184" s="18"/>
      <c r="R184" s="18"/>
    </row>
    <row r="185" spans="1:18" x14ac:dyDescent="0.25">
      <c r="A185" s="18"/>
      <c r="B185" s="18"/>
      <c r="C185" s="17" t="str">
        <f>IF($B185="","",IFERROR(INDEX(Cenarios!$B$5:$B$54,MATCH($B185,Cenarios!$A$5:$A$54,0)),"ID não encontrado"))</f>
        <v/>
      </c>
      <c r="D185" s="22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20"/>
      <c r="Q185" s="18"/>
      <c r="R185" s="18"/>
    </row>
    <row r="186" spans="1:18" x14ac:dyDescent="0.25">
      <c r="A186" s="18"/>
      <c r="B186" s="18"/>
      <c r="C186" s="17" t="str">
        <f>IF($B186="","",IFERROR(INDEX(Cenarios!$B$5:$B$54,MATCH($B186,Cenarios!$A$5:$A$54,0)),"ID não encontrado"))</f>
        <v/>
      </c>
      <c r="D186" s="22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20"/>
      <c r="Q186" s="18"/>
      <c r="R186" s="18"/>
    </row>
    <row r="187" spans="1:18" x14ac:dyDescent="0.25">
      <c r="A187" s="18"/>
      <c r="B187" s="18"/>
      <c r="C187" s="17" t="str">
        <f>IF($B187="","",IFERROR(INDEX(Cenarios!$B$5:$B$54,MATCH($B187,Cenarios!$A$5:$A$54,0)),"ID não encontrado"))</f>
        <v/>
      </c>
      <c r="D187" s="22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20"/>
      <c r="Q187" s="18"/>
      <c r="R187" s="18"/>
    </row>
    <row r="188" spans="1:18" x14ac:dyDescent="0.25">
      <c r="A188" s="18"/>
      <c r="B188" s="18"/>
      <c r="C188" s="17" t="str">
        <f>IF($B188="","",IFERROR(INDEX(Cenarios!$B$5:$B$54,MATCH($B188,Cenarios!$A$5:$A$54,0)),"ID não encontrado"))</f>
        <v/>
      </c>
      <c r="D188" s="22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20"/>
      <c r="Q188" s="18"/>
      <c r="R188" s="18"/>
    </row>
    <row r="189" spans="1:18" x14ac:dyDescent="0.25">
      <c r="A189" s="18"/>
      <c r="B189" s="18"/>
      <c r="C189" s="17" t="str">
        <f>IF($B189="","",IFERROR(INDEX(Cenarios!$B$5:$B$54,MATCH($B189,Cenarios!$A$5:$A$54,0)),"ID não encontrado"))</f>
        <v/>
      </c>
      <c r="D189" s="22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20"/>
      <c r="Q189" s="18"/>
      <c r="R189" s="18"/>
    </row>
    <row r="190" spans="1:18" x14ac:dyDescent="0.25">
      <c r="A190" s="18"/>
      <c r="B190" s="18"/>
      <c r="C190" s="17" t="str">
        <f>IF($B190="","",IFERROR(INDEX(Cenarios!$B$5:$B$54,MATCH($B190,Cenarios!$A$5:$A$54,0)),"ID não encontrado"))</f>
        <v/>
      </c>
      <c r="D190" s="22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20"/>
      <c r="Q190" s="18"/>
      <c r="R190" s="18"/>
    </row>
    <row r="191" spans="1:18" x14ac:dyDescent="0.25">
      <c r="A191" s="18"/>
      <c r="B191" s="18"/>
      <c r="C191" s="17" t="str">
        <f>IF($B191="","",IFERROR(INDEX(Cenarios!$B$5:$B$54,MATCH($B191,Cenarios!$A$5:$A$54,0)),"ID não encontrado"))</f>
        <v/>
      </c>
      <c r="D191" s="22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20"/>
      <c r="Q191" s="18"/>
      <c r="R191" s="18"/>
    </row>
    <row r="192" spans="1:18" x14ac:dyDescent="0.25">
      <c r="A192" s="18"/>
      <c r="B192" s="18"/>
      <c r="C192" s="17" t="str">
        <f>IF($B192="","",IFERROR(INDEX(Cenarios!$B$5:$B$54,MATCH($B192,Cenarios!$A$5:$A$54,0)),"ID não encontrado"))</f>
        <v/>
      </c>
      <c r="D192" s="22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20"/>
      <c r="Q192" s="18"/>
      <c r="R192" s="18"/>
    </row>
    <row r="193" spans="1:18" x14ac:dyDescent="0.25">
      <c r="A193" s="18"/>
      <c r="B193" s="18"/>
      <c r="C193" s="17" t="str">
        <f>IF($B193="","",IFERROR(INDEX(Cenarios!$B$5:$B$54,MATCH($B193,Cenarios!$A$5:$A$54,0)),"ID não encontrado"))</f>
        <v/>
      </c>
      <c r="D193" s="22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20"/>
      <c r="Q193" s="18"/>
      <c r="R193" s="18"/>
    </row>
    <row r="194" spans="1:18" x14ac:dyDescent="0.25">
      <c r="A194" s="18"/>
      <c r="B194" s="18"/>
      <c r="C194" s="17" t="str">
        <f>IF($B194="","",IFERROR(INDEX(Cenarios!$B$5:$B$54,MATCH($B194,Cenarios!$A$5:$A$54,0)),"ID não encontrado"))</f>
        <v/>
      </c>
      <c r="D194" s="22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20"/>
      <c r="Q194" s="18"/>
      <c r="R194" s="18"/>
    </row>
    <row r="195" spans="1:18" x14ac:dyDescent="0.25">
      <c r="A195" s="18"/>
      <c r="B195" s="18"/>
      <c r="C195" s="17" t="str">
        <f>IF($B195="","",IFERROR(INDEX(Cenarios!$B$5:$B$54,MATCH($B195,Cenarios!$A$5:$A$54,0)),"ID não encontrado"))</f>
        <v/>
      </c>
      <c r="D195" s="22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20"/>
      <c r="Q195" s="18"/>
      <c r="R195" s="18"/>
    </row>
    <row r="196" spans="1:18" x14ac:dyDescent="0.25">
      <c r="A196" s="18"/>
      <c r="B196" s="18"/>
      <c r="C196" s="17" t="str">
        <f>IF($B196="","",IFERROR(INDEX(Cenarios!$B$5:$B$54,MATCH($B196,Cenarios!$A$5:$A$54,0)),"ID não encontrado"))</f>
        <v/>
      </c>
      <c r="D196" s="22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20"/>
      <c r="Q196" s="18"/>
      <c r="R196" s="18"/>
    </row>
    <row r="197" spans="1:18" x14ac:dyDescent="0.25">
      <c r="A197" s="18"/>
      <c r="B197" s="18"/>
      <c r="C197" s="17" t="str">
        <f>IF($B197="","",IFERROR(INDEX(Cenarios!$B$5:$B$54,MATCH($B197,Cenarios!$A$5:$A$54,0)),"ID não encontrado"))</f>
        <v/>
      </c>
      <c r="D197" s="22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20"/>
      <c r="Q197" s="18"/>
      <c r="R197" s="18"/>
    </row>
    <row r="198" spans="1:18" x14ac:dyDescent="0.25">
      <c r="A198" s="18"/>
      <c r="B198" s="18"/>
      <c r="C198" s="17" t="str">
        <f>IF($B198="","",IFERROR(INDEX(Cenarios!$B$5:$B$54,MATCH($B198,Cenarios!$A$5:$A$54,0)),"ID não encontrado"))</f>
        <v/>
      </c>
      <c r="D198" s="22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20"/>
      <c r="Q198" s="18"/>
      <c r="R198" s="18"/>
    </row>
    <row r="199" spans="1:18" x14ac:dyDescent="0.25">
      <c r="A199" s="18"/>
      <c r="B199" s="18"/>
      <c r="C199" s="17" t="str">
        <f>IF($B199="","",IFERROR(INDEX(Cenarios!$B$5:$B$54,MATCH($B199,Cenarios!$A$5:$A$54,0)),"ID não encontrado"))</f>
        <v/>
      </c>
      <c r="D199" s="22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20"/>
      <c r="Q199" s="18"/>
      <c r="R199" s="18"/>
    </row>
    <row r="200" spans="1:18" x14ac:dyDescent="0.25">
      <c r="A200" s="18"/>
      <c r="B200" s="18"/>
      <c r="C200" s="17" t="str">
        <f>IF($B200="","",IFERROR(INDEX(Cenarios!$B$5:$B$54,MATCH($B200,Cenarios!$A$5:$A$54,0)),"ID não encontrado"))</f>
        <v/>
      </c>
      <c r="D200" s="22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20"/>
      <c r="Q200" s="18"/>
      <c r="R200" s="18"/>
    </row>
    <row r="201" spans="1:18" x14ac:dyDescent="0.25">
      <c r="A201" s="18"/>
      <c r="B201" s="18"/>
      <c r="C201" s="17" t="str">
        <f>IF($B201="","",IFERROR(INDEX(Cenarios!$B$5:$B$54,MATCH($B201,Cenarios!$A$5:$A$54,0)),"ID não encontrado"))</f>
        <v/>
      </c>
      <c r="D201" s="22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20"/>
      <c r="Q201" s="18"/>
      <c r="R201" s="18"/>
    </row>
    <row r="202" spans="1:18" x14ac:dyDescent="0.25">
      <c r="A202" s="18"/>
      <c r="B202" s="18"/>
      <c r="C202" s="17" t="str">
        <f>IF($B202="","",IFERROR(INDEX(Cenarios!$B$5:$B$54,MATCH($B202,Cenarios!$A$5:$A$54,0)),"ID não encontrado"))</f>
        <v/>
      </c>
      <c r="D202" s="22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20"/>
      <c r="Q202" s="18"/>
      <c r="R202" s="18"/>
    </row>
    <row r="203" spans="1:18" x14ac:dyDescent="0.25">
      <c r="A203" s="18"/>
      <c r="B203" s="18"/>
      <c r="C203" s="17" t="str">
        <f>IF($B203="","",IFERROR(INDEX(Cenarios!$B$5:$B$54,MATCH($B203,Cenarios!$A$5:$A$54,0)),"ID não encontrado"))</f>
        <v/>
      </c>
      <c r="D203" s="22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20"/>
      <c r="Q203" s="18"/>
      <c r="R203" s="18"/>
    </row>
    <row r="204" spans="1:18" x14ac:dyDescent="0.25">
      <c r="A204" s="18"/>
      <c r="B204" s="18"/>
      <c r="C204" s="17" t="str">
        <f>IF($B204="","",IFERROR(INDEX(Cenarios!$B$5:$B$54,MATCH($B204,Cenarios!$A$5:$A$54,0)),"ID não encontrado"))</f>
        <v/>
      </c>
      <c r="D204" s="22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20"/>
      <c r="Q204" s="18"/>
      <c r="R204" s="18"/>
    </row>
    <row r="205" spans="1:18" x14ac:dyDescent="0.25">
      <c r="A205" s="18"/>
      <c r="B205" s="18"/>
      <c r="C205" s="17" t="str">
        <f>IF($B205="","",IFERROR(INDEX(Cenarios!$B$5:$B$54,MATCH($B205,Cenarios!$A$5:$A$54,0)),"ID não encontrado"))</f>
        <v/>
      </c>
      <c r="D205" s="22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20"/>
      <c r="Q205" s="18"/>
      <c r="R205" s="18"/>
    </row>
  </sheetData>
  <autoFilter ref="A4:R205" xr:uid="{00000000-0009-0000-0000-000003000000}"/>
  <conditionalFormatting sqref="L5:L205">
    <cfRule type="cellIs" dxfId="30" priority="2" operator="equal">
      <formula>"Aprovado"</formula>
    </cfRule>
    <cfRule type="cellIs" dxfId="29" priority="3" operator="equal">
      <formula>"Reprovado"</formula>
    </cfRule>
    <cfRule type="cellIs" dxfId="28" priority="4" operator="equal">
      <formula>"Bloqueado"</formula>
    </cfRule>
    <cfRule type="cellIs" dxfId="27" priority="5" operator="equal">
      <formula>"Fechado"</formula>
    </cfRule>
    <cfRule type="cellIs" dxfId="26" priority="6" operator="equal">
      <formula>"Corrigido"</formula>
    </cfRule>
    <cfRule type="cellIs" dxfId="25" priority="7" operator="equal">
      <formula>"Aberto"</formula>
    </cfRule>
    <cfRule type="cellIs" dxfId="24" priority="8" operator="equal">
      <formula>"Em andamento"</formula>
    </cfRule>
    <cfRule type="cellIs" dxfId="23" priority="9" operator="equal">
      <formula>"Em correção"</formula>
    </cfRule>
    <cfRule type="cellIs" dxfId="22" priority="10" operator="equal">
      <formula>"Reaberto"</formula>
    </cfRule>
  </conditionalFormatting>
  <dataValidations count="4">
    <dataValidation type="list" allowBlank="1" sqref="E5:E205" xr:uid="{00000000-0002-0000-0300-000001000000}">
      <formula1>"Positivo,Negativo"</formula1>
      <formula2>0</formula2>
    </dataValidation>
    <dataValidation type="list" allowBlank="1" sqref="F5:F205" xr:uid="{00000000-0002-0000-0300-000002000000}">
      <formula1>"Alta,Média,Baixa"</formula1>
      <formula2>0</formula2>
    </dataValidation>
    <dataValidation type="list" allowBlank="1" sqref="L5:L205" xr:uid="{00000000-0002-0000-0300-000003000000}">
      <formula1>"Não executado,Aprovado,Reprovado,Bloqueado"</formula1>
      <formula2>0</formula2>
    </dataValidation>
    <dataValidation type="list" allowBlank="1" sqref="M5:M205" xr:uid="{00000000-0002-0000-0300-000004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Cenarios!$A$5:$A$54</xm:f>
          </x14:formula1>
          <x14:formula2>
            <xm:f>0</xm:f>
          </x14:formula2>
          <xm:sqref>B5:B205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3"/>
  <sheetViews>
    <sheetView zoomScaleNormal="10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K11" sqref="K11"/>
    </sheetView>
  </sheetViews>
  <sheetFormatPr defaultColWidth="8.7109375" defaultRowHeight="15" x14ac:dyDescent="0.25"/>
  <cols>
    <col min="1" max="1" width="13" customWidth="1"/>
    <col min="2" max="2" width="11" customWidth="1"/>
    <col min="3" max="3" width="34" customWidth="1"/>
    <col min="4" max="5" width="14" customWidth="1"/>
    <col min="6" max="6" width="16" customWidth="1"/>
    <col min="7" max="7" width="28.140625" customWidth="1"/>
    <col min="8" max="8" width="14" customWidth="1"/>
    <col min="9" max="9" width="44" customWidth="1"/>
    <col min="10" max="10" width="14" customWidth="1"/>
    <col min="11" max="11" width="44" customWidth="1"/>
    <col min="12" max="12" width="12" customWidth="1"/>
  </cols>
  <sheetData>
    <row r="1" spans="1:12" ht="18" x14ac:dyDescent="0.25">
      <c r="A1" s="8" t="s">
        <v>102</v>
      </c>
    </row>
    <row r="2" spans="1:12" x14ac:dyDescent="0.25">
      <c r="A2" s="9" t="s">
        <v>103</v>
      </c>
    </row>
    <row r="4" spans="1:12" ht="31.5" customHeight="1" x14ac:dyDescent="0.25">
      <c r="A4" s="15" t="s">
        <v>104</v>
      </c>
      <c r="B4" s="15" t="s">
        <v>105</v>
      </c>
      <c r="C4" s="15" t="s">
        <v>106</v>
      </c>
      <c r="D4" s="15" t="s">
        <v>107</v>
      </c>
      <c r="E4" s="15" t="s">
        <v>93</v>
      </c>
      <c r="F4" s="15" t="s">
        <v>92</v>
      </c>
      <c r="G4" s="15" t="s">
        <v>108</v>
      </c>
      <c r="H4" s="15" t="s">
        <v>109</v>
      </c>
      <c r="I4" s="15" t="s">
        <v>110</v>
      </c>
      <c r="J4" s="15" t="s">
        <v>49</v>
      </c>
      <c r="K4" s="15" t="s">
        <v>111</v>
      </c>
      <c r="L4" s="15" t="s">
        <v>94</v>
      </c>
    </row>
    <row r="5" spans="1:12" ht="48" customHeight="1" x14ac:dyDescent="0.25">
      <c r="A5" s="25" t="s">
        <v>112</v>
      </c>
      <c r="B5" s="25" t="s">
        <v>96</v>
      </c>
      <c r="C5" s="27" t="str">
        <f>IF($B5="","",IFERROR(INDEX('Casos de Teste'!$D$5:$D$205,MATCH($B5,'Casos de Teste'!$A$5:$A$205,0)),"ID não encontrado"))</f>
        <v>Cadastro com dados válidos</v>
      </c>
      <c r="D5" s="25" t="s">
        <v>149</v>
      </c>
      <c r="E5" s="26">
        <v>46303</v>
      </c>
      <c r="F5" s="25" t="s">
        <v>129</v>
      </c>
      <c r="G5" s="25" t="s">
        <v>150</v>
      </c>
      <c r="H5" s="18" t="s">
        <v>43</v>
      </c>
      <c r="I5" s="25" t="s">
        <v>113</v>
      </c>
      <c r="J5" s="25" t="s">
        <v>114</v>
      </c>
      <c r="K5" s="25" t="s">
        <v>168</v>
      </c>
      <c r="L5" s="25"/>
    </row>
    <row r="6" spans="1:12" ht="48" customHeight="1" x14ac:dyDescent="0.25">
      <c r="A6" s="25" t="s">
        <v>136</v>
      </c>
      <c r="B6" s="25" t="s">
        <v>99</v>
      </c>
      <c r="C6" s="27" t="str">
        <f>IF($B6="","",IFERROR(INDEX('Casos de Teste'!$D$5:$D$205,MATCH($B6,'Casos de Teste'!$A$5:$A$205,0)),"ID não encontrado"))</f>
        <v>Cadastro com senhas divergentes</v>
      </c>
      <c r="D6" s="25" t="s">
        <v>149</v>
      </c>
      <c r="E6" s="26">
        <v>46303</v>
      </c>
      <c r="F6" s="25" t="s">
        <v>129</v>
      </c>
      <c r="G6" s="25" t="s">
        <v>150</v>
      </c>
      <c r="H6" s="18" t="s">
        <v>43</v>
      </c>
      <c r="I6" s="25" t="s">
        <v>162</v>
      </c>
      <c r="J6" s="25" t="s">
        <v>114</v>
      </c>
      <c r="K6" s="24" t="s">
        <v>169</v>
      </c>
      <c r="L6" s="18"/>
    </row>
    <row r="7" spans="1:12" s="28" customFormat="1" ht="48" customHeight="1" x14ac:dyDescent="0.25">
      <c r="A7" s="25" t="s">
        <v>138</v>
      </c>
      <c r="B7" s="25" t="s">
        <v>126</v>
      </c>
      <c r="C7" s="27" t="str">
        <f>IF($B7="","",IFERROR(INDEX('Casos de Teste'!$D$5:$D$205,MATCH($B7,'Casos de Teste'!$A$5:$A$205,0)),"ID não encontrado"))</f>
        <v>Cadastro sem preencher dados obrigatórios</v>
      </c>
      <c r="D7" s="25" t="s">
        <v>149</v>
      </c>
      <c r="E7" s="26">
        <v>46303</v>
      </c>
      <c r="F7" s="25" t="s">
        <v>129</v>
      </c>
      <c r="G7" s="25" t="s">
        <v>150</v>
      </c>
      <c r="H7" s="25" t="s">
        <v>43</v>
      </c>
      <c r="I7" s="25" t="s">
        <v>139</v>
      </c>
      <c r="J7" s="25" t="s">
        <v>114</v>
      </c>
      <c r="K7" s="25" t="s">
        <v>170</v>
      </c>
      <c r="L7" s="25"/>
    </row>
    <row r="8" spans="1:12" s="28" customFormat="1" ht="67.5" customHeight="1" x14ac:dyDescent="0.25">
      <c r="A8" s="25" t="s">
        <v>140</v>
      </c>
      <c r="B8" s="25" t="s">
        <v>132</v>
      </c>
      <c r="C8" s="27" t="str">
        <f>IF($B8="","",IFERROR(INDEX('Casos de Teste'!$D$5:$D$205,MATCH($B8,'Casos de Teste'!$A$5:$A$205,0)),"ID não encontrado"))</f>
        <v xml:space="preserve">Cadastro com email em formato inválido </v>
      </c>
      <c r="D8" s="25" t="s">
        <v>149</v>
      </c>
      <c r="E8" s="26">
        <v>46303</v>
      </c>
      <c r="F8" s="25" t="s">
        <v>129</v>
      </c>
      <c r="G8" s="25" t="s">
        <v>150</v>
      </c>
      <c r="H8" s="25" t="s">
        <v>43</v>
      </c>
      <c r="I8" s="25" t="s">
        <v>165</v>
      </c>
      <c r="J8" s="25" t="s">
        <v>114</v>
      </c>
      <c r="K8" s="25" t="s">
        <v>171</v>
      </c>
      <c r="L8" s="25"/>
    </row>
    <row r="9" spans="1:12" s="28" customFormat="1" ht="51.75" customHeight="1" x14ac:dyDescent="0.25">
      <c r="A9" s="25" t="s">
        <v>154</v>
      </c>
      <c r="B9" s="25" t="s">
        <v>144</v>
      </c>
      <c r="C9" s="27" t="str">
        <f>IF($B9="","",IFERROR(INDEX('Casos de Teste'!$D$5:$D$205,MATCH($B9,'Casos de Teste'!$A$5:$A$205,0)),"ID não encontrado"))</f>
        <v xml:space="preserve">Cadastro com o campo NOME vazio </v>
      </c>
      <c r="D9" s="25" t="s">
        <v>149</v>
      </c>
      <c r="E9" s="26">
        <v>46303</v>
      </c>
      <c r="F9" s="25" t="s">
        <v>129</v>
      </c>
      <c r="G9" s="25" t="s">
        <v>150</v>
      </c>
      <c r="H9" s="25" t="s">
        <v>44</v>
      </c>
      <c r="I9" s="25" t="s">
        <v>164</v>
      </c>
      <c r="J9" s="25" t="s">
        <v>114</v>
      </c>
      <c r="K9" s="25" t="s">
        <v>172</v>
      </c>
      <c r="L9" s="25" t="s">
        <v>125</v>
      </c>
    </row>
    <row r="10" spans="1:12" s="28" customFormat="1" ht="51.75" customHeight="1" x14ac:dyDescent="0.25">
      <c r="A10" s="25" t="s">
        <v>184</v>
      </c>
      <c r="B10" s="25" t="s">
        <v>178</v>
      </c>
      <c r="C10" s="27" t="str">
        <f>IF($B10="","",IFERROR(INDEX('Casos de Teste'!$D$5:$D$205,MATCH($B10,'Casos de Teste'!$A$5:$A$205,0)),"ID não encontrado"))</f>
        <v xml:space="preserve">Cadastro com o campo NOME preenchido apenas com espaço </v>
      </c>
      <c r="D10" s="25" t="s">
        <v>149</v>
      </c>
      <c r="E10" s="26">
        <v>46305</v>
      </c>
      <c r="F10" s="25" t="s">
        <v>129</v>
      </c>
      <c r="G10" s="25" t="s">
        <v>150</v>
      </c>
      <c r="H10" s="25" t="s">
        <v>44</v>
      </c>
      <c r="I10" s="25" t="s">
        <v>185</v>
      </c>
      <c r="J10" s="25" t="s">
        <v>114</v>
      </c>
      <c r="K10" s="25" t="s">
        <v>187</v>
      </c>
      <c r="L10" s="25" t="s">
        <v>183</v>
      </c>
    </row>
    <row r="11" spans="1:12" s="28" customFormat="1" x14ac:dyDescent="0.25">
      <c r="A11" s="25"/>
      <c r="B11" s="25"/>
      <c r="C11" s="27" t="str">
        <f>IF($B11="","",IFERROR(INDEX('Casos de Teste'!$D$5:$D$205,MATCH($B11,'Casos de Teste'!$A$5:$A$205,0)),"ID não encontrado"))</f>
        <v/>
      </c>
      <c r="D11" s="25"/>
      <c r="E11" s="26"/>
      <c r="F11" s="25"/>
      <c r="G11" s="25"/>
      <c r="H11" s="25"/>
      <c r="I11" s="25"/>
      <c r="J11" s="25"/>
      <c r="K11" s="25"/>
      <c r="L11" s="25"/>
    </row>
    <row r="12" spans="1:12" s="28" customFormat="1" x14ac:dyDescent="0.25">
      <c r="A12" s="25"/>
      <c r="B12" s="25"/>
      <c r="C12" s="27" t="str">
        <f>IF($B12="","",IFERROR(INDEX('Casos de Teste'!$D$5:$D$205,MATCH($B12,'Casos de Teste'!$A$5:$A$205,0)),"ID não encontrado"))</f>
        <v/>
      </c>
      <c r="D12" s="25"/>
      <c r="E12" s="26"/>
      <c r="F12" s="25"/>
      <c r="G12" s="25"/>
      <c r="H12" s="25"/>
      <c r="I12" s="25"/>
      <c r="J12" s="25"/>
      <c r="K12" s="25"/>
      <c r="L12" s="25"/>
    </row>
    <row r="13" spans="1:12" s="28" customFormat="1" x14ac:dyDescent="0.25">
      <c r="A13" s="25"/>
      <c r="B13" s="25"/>
      <c r="C13" s="27" t="str">
        <f>IF($B13="","",IFERROR(INDEX('Casos de Teste'!$D$5:$D$205,MATCH($B13,'Casos de Teste'!$A$5:$A$205,0)),"ID não encontrado"))</f>
        <v/>
      </c>
      <c r="D13" s="25"/>
      <c r="E13" s="26"/>
      <c r="F13" s="25"/>
      <c r="G13" s="25"/>
      <c r="H13" s="25"/>
      <c r="I13" s="25"/>
      <c r="J13" s="25"/>
      <c r="K13" s="25"/>
      <c r="L13" s="25"/>
    </row>
    <row r="14" spans="1:12" s="28" customFormat="1" x14ac:dyDescent="0.25">
      <c r="A14" s="25"/>
      <c r="B14" s="25"/>
      <c r="C14" s="27" t="str">
        <f>IF($B14="","",IFERROR(INDEX('Casos de Teste'!$D$5:$D$205,MATCH($B14,'Casos de Teste'!$A$5:$A$205,0)),"ID não encontrado"))</f>
        <v/>
      </c>
      <c r="D14" s="25"/>
      <c r="E14" s="26"/>
      <c r="F14" s="25"/>
      <c r="G14" s="25"/>
      <c r="H14" s="25"/>
      <c r="I14" s="25"/>
      <c r="J14" s="25"/>
      <c r="K14" s="25"/>
      <c r="L14" s="25"/>
    </row>
    <row r="15" spans="1:12" s="28" customFormat="1" x14ac:dyDescent="0.25">
      <c r="A15" s="25"/>
      <c r="B15" s="25"/>
      <c r="C15" s="27" t="str">
        <f>IF($B15="","",IFERROR(INDEX('Casos de Teste'!$D$5:$D$205,MATCH($B15,'Casos de Teste'!$A$5:$A$205,0)),"ID não encontrado"))</f>
        <v/>
      </c>
      <c r="D15" s="25"/>
      <c r="E15" s="26"/>
      <c r="F15" s="25"/>
      <c r="G15" s="25"/>
      <c r="H15" s="25"/>
      <c r="I15" s="25"/>
      <c r="J15" s="25"/>
      <c r="K15" s="25"/>
      <c r="L15" s="25"/>
    </row>
    <row r="16" spans="1:12" s="28" customFormat="1" x14ac:dyDescent="0.25">
      <c r="A16" s="25"/>
      <c r="B16" s="25"/>
      <c r="C16" s="27" t="str">
        <f>IF($B16="","",IFERROR(INDEX('Casos de Teste'!$D$5:$D$205,MATCH($B16,'Casos de Teste'!$A$5:$A$205,0)),"ID não encontrado"))</f>
        <v/>
      </c>
      <c r="D16" s="25"/>
      <c r="E16" s="26"/>
      <c r="F16" s="25"/>
      <c r="G16" s="25"/>
      <c r="H16" s="25"/>
      <c r="I16" s="25"/>
      <c r="J16" s="25"/>
      <c r="K16" s="25"/>
      <c r="L16" s="25"/>
    </row>
    <row r="17" spans="1:12" s="28" customFormat="1" x14ac:dyDescent="0.25">
      <c r="A17" s="25"/>
      <c r="B17" s="25"/>
      <c r="C17" s="27" t="str">
        <f>IF($B17="","",IFERROR(INDEX('Casos de Teste'!$D$5:$D$205,MATCH($B17,'Casos de Teste'!$A$5:$A$205,0)),"ID não encontrado"))</f>
        <v/>
      </c>
      <c r="D17" s="25"/>
      <c r="E17" s="26"/>
      <c r="F17" s="25"/>
      <c r="G17" s="25"/>
      <c r="H17" s="25"/>
      <c r="I17" s="25"/>
      <c r="J17" s="25"/>
      <c r="K17" s="25"/>
      <c r="L17" s="25"/>
    </row>
    <row r="18" spans="1:12" s="28" customFormat="1" x14ac:dyDescent="0.25">
      <c r="A18" s="25"/>
      <c r="B18" s="25"/>
      <c r="C18" s="27" t="str">
        <f>IF($B18="","",IFERROR(INDEX('Casos de Teste'!$D$5:$D$205,MATCH($B18,'Casos de Teste'!$A$5:$A$205,0)),"ID não encontrado"))</f>
        <v/>
      </c>
      <c r="D18" s="25"/>
      <c r="E18" s="26"/>
      <c r="F18" s="25"/>
      <c r="G18" s="25"/>
      <c r="H18" s="25"/>
      <c r="I18" s="25"/>
      <c r="J18" s="25"/>
      <c r="K18" s="25"/>
      <c r="L18" s="25"/>
    </row>
    <row r="19" spans="1:12" s="28" customFormat="1" x14ac:dyDescent="0.25">
      <c r="A19" s="25"/>
      <c r="B19" s="25"/>
      <c r="C19" s="27" t="str">
        <f>IF($B19="","",IFERROR(INDEX('Casos de Teste'!$D$5:$D$205,MATCH($B19,'Casos de Teste'!$A$5:$A$205,0)),"ID não encontrado"))</f>
        <v/>
      </c>
      <c r="D19" s="25"/>
      <c r="E19" s="26"/>
      <c r="F19" s="25"/>
      <c r="G19" s="25"/>
      <c r="H19" s="25"/>
      <c r="I19" s="25"/>
      <c r="J19" s="25"/>
      <c r="K19" s="25"/>
      <c r="L19" s="25"/>
    </row>
    <row r="20" spans="1:12" s="28" customFormat="1" x14ac:dyDescent="0.25">
      <c r="A20" s="25"/>
      <c r="B20" s="25"/>
      <c r="C20" s="27" t="str">
        <f>IF($B20="","",IFERROR(INDEX('Casos de Teste'!$D$5:$D$205,MATCH($B20,'Casos de Teste'!$A$5:$A$205,0)),"ID não encontrado"))</f>
        <v/>
      </c>
      <c r="D20" s="25"/>
      <c r="E20" s="26"/>
      <c r="F20" s="25"/>
      <c r="G20" s="25"/>
      <c r="H20" s="25"/>
      <c r="I20" s="25"/>
      <c r="J20" s="25"/>
      <c r="K20" s="25"/>
      <c r="L20" s="25"/>
    </row>
    <row r="21" spans="1:12" s="28" customFormat="1" x14ac:dyDescent="0.25">
      <c r="A21" s="25"/>
      <c r="B21" s="25"/>
      <c r="C21" s="27" t="str">
        <f>IF($B21="","",IFERROR(INDEX('Casos de Teste'!$D$5:$D$205,MATCH($B21,'Casos de Teste'!$A$5:$A$205,0)),"ID não encontrado"))</f>
        <v/>
      </c>
      <c r="D21" s="25"/>
      <c r="E21" s="26"/>
      <c r="F21" s="25"/>
      <c r="G21" s="25"/>
      <c r="H21" s="25"/>
      <c r="I21" s="25"/>
      <c r="J21" s="25"/>
      <c r="K21" s="25"/>
      <c r="L21" s="25"/>
    </row>
    <row r="22" spans="1:12" s="28" customFormat="1" x14ac:dyDescent="0.25">
      <c r="A22" s="25"/>
      <c r="B22" s="25"/>
      <c r="C22" s="27" t="str">
        <f>IF($B22="","",IFERROR(INDEX('Casos de Teste'!$D$5:$D$205,MATCH($B22,'Casos de Teste'!$A$5:$A$205,0)),"ID não encontrado"))</f>
        <v/>
      </c>
      <c r="D22" s="25"/>
      <c r="E22" s="26"/>
      <c r="F22" s="25"/>
      <c r="G22" s="25"/>
      <c r="H22" s="25"/>
      <c r="I22" s="25"/>
      <c r="J22" s="25"/>
      <c r="K22" s="25"/>
      <c r="L22" s="25"/>
    </row>
    <row r="23" spans="1:12" s="28" customFormat="1" x14ac:dyDescent="0.25">
      <c r="A23" s="25"/>
      <c r="B23" s="25"/>
      <c r="C23" s="27" t="str">
        <f>IF($B23="","",IFERROR(INDEX('Casos de Teste'!$D$5:$D$205,MATCH($B23,'Casos de Teste'!$A$5:$A$205,0)),"ID não encontrado"))</f>
        <v/>
      </c>
      <c r="D23" s="25"/>
      <c r="E23" s="26"/>
      <c r="F23" s="25"/>
      <c r="G23" s="25"/>
      <c r="H23" s="25"/>
      <c r="I23" s="25"/>
      <c r="J23" s="25"/>
      <c r="K23" s="25"/>
      <c r="L23" s="25"/>
    </row>
    <row r="24" spans="1:12" s="28" customFormat="1" x14ac:dyDescent="0.25">
      <c r="A24" s="25"/>
      <c r="B24" s="25"/>
      <c r="C24" s="27" t="str">
        <f>IF($B24="","",IFERROR(INDEX('Casos de Teste'!$D$5:$D$205,MATCH($B24,'Casos de Teste'!$A$5:$A$205,0)),"ID não encontrado"))</f>
        <v/>
      </c>
      <c r="D24" s="25"/>
      <c r="E24" s="26"/>
      <c r="F24" s="25"/>
      <c r="G24" s="25"/>
      <c r="H24" s="25"/>
      <c r="I24" s="25"/>
      <c r="J24" s="25"/>
      <c r="K24" s="25"/>
      <c r="L24" s="25"/>
    </row>
    <row r="25" spans="1:12" s="28" customFormat="1" x14ac:dyDescent="0.25">
      <c r="A25" s="25"/>
      <c r="B25" s="25"/>
      <c r="C25" s="27" t="str">
        <f>IF($B25="","",IFERROR(INDEX('Casos de Teste'!$D$5:$D$205,MATCH($B25,'Casos de Teste'!$A$5:$A$205,0)),"ID não encontrado"))</f>
        <v/>
      </c>
      <c r="D25" s="25"/>
      <c r="E25" s="26"/>
      <c r="F25" s="25"/>
      <c r="G25" s="25"/>
      <c r="H25" s="25"/>
      <c r="I25" s="25"/>
      <c r="J25" s="25"/>
      <c r="K25" s="25"/>
      <c r="L25" s="25"/>
    </row>
    <row r="26" spans="1:12" s="28" customFormat="1" x14ac:dyDescent="0.25">
      <c r="A26" s="25"/>
      <c r="B26" s="25"/>
      <c r="C26" s="27" t="str">
        <f>IF($B26="","",IFERROR(INDEX('Casos de Teste'!$D$5:$D$205,MATCH($B26,'Casos de Teste'!$A$5:$A$205,0)),"ID não encontrado"))</f>
        <v/>
      </c>
      <c r="D26" s="25"/>
      <c r="E26" s="26"/>
      <c r="F26" s="25"/>
      <c r="G26" s="25"/>
      <c r="H26" s="25"/>
      <c r="I26" s="25"/>
      <c r="J26" s="25"/>
      <c r="K26" s="25"/>
      <c r="L26" s="25"/>
    </row>
    <row r="27" spans="1:12" s="28" customFormat="1" x14ac:dyDescent="0.25">
      <c r="A27" s="25"/>
      <c r="B27" s="25"/>
      <c r="C27" s="27" t="str">
        <f>IF($B27="","",IFERROR(INDEX('Casos de Teste'!$D$5:$D$205,MATCH($B27,'Casos de Teste'!$A$5:$A$205,0)),"ID não encontrado"))</f>
        <v/>
      </c>
      <c r="D27" s="25"/>
      <c r="E27" s="26"/>
      <c r="F27" s="25"/>
      <c r="G27" s="25"/>
      <c r="H27" s="25"/>
      <c r="I27" s="25"/>
      <c r="J27" s="25"/>
      <c r="K27" s="25"/>
      <c r="L27" s="25"/>
    </row>
    <row r="28" spans="1:12" s="28" customFormat="1" x14ac:dyDescent="0.25">
      <c r="A28" s="25"/>
      <c r="B28" s="25"/>
      <c r="C28" s="27" t="str">
        <f>IF($B28="","",IFERROR(INDEX('Casos de Teste'!$D$5:$D$205,MATCH($B28,'Casos de Teste'!$A$5:$A$205,0)),"ID não encontrado"))</f>
        <v/>
      </c>
      <c r="D28" s="25"/>
      <c r="E28" s="26"/>
      <c r="F28" s="25"/>
      <c r="G28" s="25"/>
      <c r="H28" s="25"/>
      <c r="I28" s="25"/>
      <c r="J28" s="25"/>
      <c r="K28" s="25"/>
      <c r="L28" s="25"/>
    </row>
    <row r="29" spans="1:12" s="28" customFormat="1" x14ac:dyDescent="0.25">
      <c r="A29" s="25"/>
      <c r="B29" s="25"/>
      <c r="C29" s="27" t="str">
        <f>IF($B29="","",IFERROR(INDEX('Casos de Teste'!$D$5:$D$205,MATCH($B29,'Casos de Teste'!$A$5:$A$205,0)),"ID não encontrado"))</f>
        <v/>
      </c>
      <c r="D29" s="25"/>
      <c r="E29" s="26"/>
      <c r="F29" s="25"/>
      <c r="G29" s="25"/>
      <c r="H29" s="25"/>
      <c r="I29" s="25"/>
      <c r="J29" s="25"/>
      <c r="K29" s="25"/>
      <c r="L29" s="25"/>
    </row>
    <row r="30" spans="1:12" s="28" customFormat="1" x14ac:dyDescent="0.25">
      <c r="A30" s="25"/>
      <c r="B30" s="25"/>
      <c r="C30" s="27" t="str">
        <f>IF($B30="","",IFERROR(INDEX('Casos de Teste'!$D$5:$D$205,MATCH($B30,'Casos de Teste'!$A$5:$A$205,0)),"ID não encontrado"))</f>
        <v/>
      </c>
      <c r="D30" s="25"/>
      <c r="E30" s="26"/>
      <c r="F30" s="25"/>
      <c r="G30" s="25"/>
      <c r="H30" s="25"/>
      <c r="I30" s="25"/>
      <c r="J30" s="25"/>
      <c r="K30" s="25"/>
      <c r="L30" s="25"/>
    </row>
    <row r="31" spans="1:12" s="28" customFormat="1" x14ac:dyDescent="0.25">
      <c r="A31" s="25"/>
      <c r="B31" s="25"/>
      <c r="C31" s="27" t="str">
        <f>IF($B31="","",IFERROR(INDEX('Casos de Teste'!$D$5:$D$205,MATCH($B31,'Casos de Teste'!$A$5:$A$205,0)),"ID não encontrado"))</f>
        <v/>
      </c>
      <c r="D31" s="25"/>
      <c r="E31" s="26"/>
      <c r="F31" s="25"/>
      <c r="G31" s="25"/>
      <c r="H31" s="25"/>
      <c r="I31" s="25"/>
      <c r="J31" s="25"/>
      <c r="K31" s="25"/>
      <c r="L31" s="25"/>
    </row>
    <row r="32" spans="1:12" s="28" customFormat="1" x14ac:dyDescent="0.25">
      <c r="A32" s="25"/>
      <c r="B32" s="25"/>
      <c r="C32" s="27" t="str">
        <f>IF($B32="","",IFERROR(INDEX('Casos de Teste'!$D$5:$D$205,MATCH($B32,'Casos de Teste'!$A$5:$A$205,0)),"ID não encontrado"))</f>
        <v/>
      </c>
      <c r="D32" s="25"/>
      <c r="E32" s="26"/>
      <c r="F32" s="25"/>
      <c r="G32" s="25"/>
      <c r="H32" s="25"/>
      <c r="I32" s="25"/>
      <c r="J32" s="25"/>
      <c r="K32" s="25"/>
      <c r="L32" s="25"/>
    </row>
    <row r="33" spans="1:12" s="28" customFormat="1" x14ac:dyDescent="0.25">
      <c r="A33" s="25"/>
      <c r="B33" s="25"/>
      <c r="C33" s="27" t="str">
        <f>IF($B33="","",IFERROR(INDEX('Casos de Teste'!$D$5:$D$205,MATCH($B33,'Casos de Teste'!$A$5:$A$205,0)),"ID não encontrado"))</f>
        <v/>
      </c>
      <c r="D33" s="25"/>
      <c r="E33" s="26"/>
      <c r="F33" s="25"/>
      <c r="G33" s="25"/>
      <c r="H33" s="25"/>
      <c r="I33" s="25"/>
      <c r="J33" s="25"/>
      <c r="K33" s="25"/>
      <c r="L33" s="25"/>
    </row>
    <row r="34" spans="1:12" s="28" customFormat="1" x14ac:dyDescent="0.25">
      <c r="A34" s="25"/>
      <c r="B34" s="25"/>
      <c r="C34" s="27" t="str">
        <f>IF($B34="","",IFERROR(INDEX('Casos de Teste'!$D$5:$D$205,MATCH($B34,'Casos de Teste'!$A$5:$A$205,0)),"ID não encontrado"))</f>
        <v/>
      </c>
      <c r="D34" s="25"/>
      <c r="E34" s="26"/>
      <c r="F34" s="25"/>
      <c r="G34" s="25"/>
      <c r="H34" s="25"/>
      <c r="I34" s="25"/>
      <c r="J34" s="25"/>
      <c r="K34" s="25"/>
      <c r="L34" s="25"/>
    </row>
    <row r="35" spans="1:12" s="28" customFormat="1" x14ac:dyDescent="0.25">
      <c r="A35" s="25"/>
      <c r="B35" s="25"/>
      <c r="C35" s="27" t="str">
        <f>IF($B35="","",IFERROR(INDEX('Casos de Teste'!$D$5:$D$205,MATCH($B35,'Casos de Teste'!$A$5:$A$205,0)),"ID não encontrado"))</f>
        <v/>
      </c>
      <c r="D35" s="25"/>
      <c r="E35" s="26"/>
      <c r="F35" s="25"/>
      <c r="G35" s="25"/>
      <c r="H35" s="25"/>
      <c r="I35" s="25"/>
      <c r="J35" s="25"/>
      <c r="K35" s="25"/>
      <c r="L35" s="25"/>
    </row>
    <row r="36" spans="1:12" s="28" customFormat="1" x14ac:dyDescent="0.25">
      <c r="A36" s="25"/>
      <c r="B36" s="25"/>
      <c r="C36" s="27" t="str">
        <f>IF($B36="","",IFERROR(INDEX('Casos de Teste'!$D$5:$D$205,MATCH($B36,'Casos de Teste'!$A$5:$A$205,0)),"ID não encontrado"))</f>
        <v/>
      </c>
      <c r="D36" s="25"/>
      <c r="E36" s="26"/>
      <c r="F36" s="25"/>
      <c r="G36" s="25"/>
      <c r="H36" s="25"/>
      <c r="I36" s="25"/>
      <c r="J36" s="25"/>
      <c r="K36" s="25"/>
      <c r="L36" s="25"/>
    </row>
    <row r="37" spans="1:12" s="28" customFormat="1" x14ac:dyDescent="0.25">
      <c r="A37" s="25"/>
      <c r="B37" s="25"/>
      <c r="C37" s="27" t="str">
        <f>IF($B37="","",IFERROR(INDEX('Casos de Teste'!$D$5:$D$205,MATCH($B37,'Casos de Teste'!$A$5:$A$205,0)),"ID não encontrado"))</f>
        <v/>
      </c>
      <c r="D37" s="25"/>
      <c r="E37" s="26"/>
      <c r="F37" s="25"/>
      <c r="G37" s="25"/>
      <c r="H37" s="25"/>
      <c r="I37" s="25"/>
      <c r="J37" s="25"/>
      <c r="K37" s="25"/>
      <c r="L37" s="25"/>
    </row>
    <row r="38" spans="1:12" s="28" customFormat="1" x14ac:dyDescent="0.25">
      <c r="A38" s="25"/>
      <c r="B38" s="25"/>
      <c r="C38" s="27" t="str">
        <f>IF($B38="","",IFERROR(INDEX('Casos de Teste'!$D$5:$D$205,MATCH($B38,'Casos de Teste'!$A$5:$A$205,0)),"ID não encontrado"))</f>
        <v/>
      </c>
      <c r="D38" s="25"/>
      <c r="E38" s="26"/>
      <c r="F38" s="25"/>
      <c r="G38" s="25"/>
      <c r="H38" s="25"/>
      <c r="I38" s="25"/>
      <c r="J38" s="25"/>
      <c r="K38" s="25"/>
      <c r="L38" s="25"/>
    </row>
    <row r="39" spans="1:12" s="28" customFormat="1" x14ac:dyDescent="0.25">
      <c r="A39" s="25"/>
      <c r="B39" s="25"/>
      <c r="C39" s="27" t="str">
        <f>IF($B39="","",IFERROR(INDEX('Casos de Teste'!$D$5:$D$205,MATCH($B39,'Casos de Teste'!$A$5:$A$205,0)),"ID não encontrado"))</f>
        <v/>
      </c>
      <c r="D39" s="25"/>
      <c r="E39" s="26"/>
      <c r="F39" s="25"/>
      <c r="G39" s="25"/>
      <c r="H39" s="25"/>
      <c r="I39" s="25"/>
      <c r="J39" s="25"/>
      <c r="K39" s="25"/>
      <c r="L39" s="25"/>
    </row>
    <row r="40" spans="1:12" s="28" customFormat="1" x14ac:dyDescent="0.25">
      <c r="A40" s="25"/>
      <c r="B40" s="25"/>
      <c r="C40" s="27" t="str">
        <f>IF($B40="","",IFERROR(INDEX('Casos de Teste'!$D$5:$D$205,MATCH($B40,'Casos de Teste'!$A$5:$A$205,0)),"ID não encontrado"))</f>
        <v/>
      </c>
      <c r="D40" s="25"/>
      <c r="E40" s="26"/>
      <c r="F40" s="25"/>
      <c r="G40" s="25"/>
      <c r="H40" s="25"/>
      <c r="I40" s="25"/>
      <c r="J40" s="25"/>
      <c r="K40" s="25"/>
      <c r="L40" s="25"/>
    </row>
    <row r="41" spans="1:12" s="28" customFormat="1" x14ac:dyDescent="0.25">
      <c r="A41" s="25"/>
      <c r="B41" s="25"/>
      <c r="C41" s="27" t="str">
        <f>IF($B41="","",IFERROR(INDEX('Casos de Teste'!$D$5:$D$205,MATCH($B41,'Casos de Teste'!$A$5:$A$205,0)),"ID não encontrado"))</f>
        <v/>
      </c>
      <c r="D41" s="25"/>
      <c r="E41" s="26"/>
      <c r="F41" s="25"/>
      <c r="G41" s="25"/>
      <c r="H41" s="25"/>
      <c r="I41" s="25"/>
      <c r="J41" s="25"/>
      <c r="K41" s="25"/>
      <c r="L41" s="25"/>
    </row>
    <row r="42" spans="1:12" s="28" customFormat="1" x14ac:dyDescent="0.25">
      <c r="A42" s="25"/>
      <c r="B42" s="25"/>
      <c r="C42" s="27" t="str">
        <f>IF($B42="","",IFERROR(INDEX('Casos de Teste'!$D$5:$D$205,MATCH($B42,'Casos de Teste'!$A$5:$A$205,0)),"ID não encontrado"))</f>
        <v/>
      </c>
      <c r="D42" s="25"/>
      <c r="E42" s="26"/>
      <c r="F42" s="25"/>
      <c r="G42" s="25"/>
      <c r="H42" s="25"/>
      <c r="I42" s="25"/>
      <c r="J42" s="25"/>
      <c r="K42" s="25"/>
      <c r="L42" s="25"/>
    </row>
    <row r="43" spans="1:12" s="28" customFormat="1" x14ac:dyDescent="0.25">
      <c r="A43" s="25"/>
      <c r="B43" s="25"/>
      <c r="C43" s="27" t="str">
        <f>IF($B43="","",IFERROR(INDEX('Casos de Teste'!$D$5:$D$205,MATCH($B43,'Casos de Teste'!$A$5:$A$205,0)),"ID não encontrado"))</f>
        <v/>
      </c>
      <c r="D43" s="25"/>
      <c r="E43" s="26"/>
      <c r="F43" s="25"/>
      <c r="G43" s="25"/>
      <c r="H43" s="25"/>
      <c r="I43" s="25"/>
      <c r="J43" s="25"/>
      <c r="K43" s="25"/>
      <c r="L43" s="25"/>
    </row>
    <row r="44" spans="1:12" s="28" customFormat="1" x14ac:dyDescent="0.25">
      <c r="A44" s="25"/>
      <c r="B44" s="25"/>
      <c r="C44" s="27" t="str">
        <f>IF($B44="","",IFERROR(INDEX('Casos de Teste'!$D$5:$D$205,MATCH($B44,'Casos de Teste'!$A$5:$A$205,0)),"ID não encontrado"))</f>
        <v/>
      </c>
      <c r="D44" s="25"/>
      <c r="E44" s="26"/>
      <c r="F44" s="25"/>
      <c r="G44" s="25"/>
      <c r="H44" s="25"/>
      <c r="I44" s="25"/>
      <c r="J44" s="25"/>
      <c r="K44" s="25"/>
      <c r="L44" s="25"/>
    </row>
    <row r="45" spans="1:12" s="28" customFormat="1" x14ac:dyDescent="0.25">
      <c r="A45" s="25"/>
      <c r="B45" s="25"/>
      <c r="C45" s="27" t="str">
        <f>IF($B45="","",IFERROR(INDEX('Casos de Teste'!$D$5:$D$205,MATCH($B45,'Casos de Teste'!$A$5:$A$205,0)),"ID não encontrado"))</f>
        <v/>
      </c>
      <c r="D45" s="25"/>
      <c r="E45" s="26"/>
      <c r="F45" s="25"/>
      <c r="G45" s="25"/>
      <c r="H45" s="25"/>
      <c r="I45" s="25"/>
      <c r="J45" s="25"/>
      <c r="K45" s="25"/>
      <c r="L45" s="25"/>
    </row>
    <row r="46" spans="1:12" s="28" customFormat="1" x14ac:dyDescent="0.25">
      <c r="A46" s="25"/>
      <c r="B46" s="25"/>
      <c r="C46" s="27" t="str">
        <f>IF($B46="","",IFERROR(INDEX('Casos de Teste'!$D$5:$D$205,MATCH($B46,'Casos de Teste'!$A$5:$A$205,0)),"ID não encontrado"))</f>
        <v/>
      </c>
      <c r="D46" s="25"/>
      <c r="E46" s="26"/>
      <c r="F46" s="25"/>
      <c r="G46" s="25"/>
      <c r="H46" s="25"/>
      <c r="I46" s="25"/>
      <c r="J46" s="25"/>
      <c r="K46" s="25"/>
      <c r="L46" s="25"/>
    </row>
    <row r="47" spans="1:12" s="28" customFormat="1" x14ac:dyDescent="0.25">
      <c r="A47" s="25"/>
      <c r="B47" s="25"/>
      <c r="C47" s="27" t="str">
        <f>IF($B47="","",IFERROR(INDEX('Casos de Teste'!$D$5:$D$205,MATCH($B47,'Casos de Teste'!$A$5:$A$205,0)),"ID não encontrado"))</f>
        <v/>
      </c>
      <c r="D47" s="25"/>
      <c r="E47" s="26"/>
      <c r="F47" s="25"/>
      <c r="G47" s="25"/>
      <c r="H47" s="25"/>
      <c r="I47" s="25"/>
      <c r="J47" s="25"/>
      <c r="K47" s="25"/>
      <c r="L47" s="25"/>
    </row>
    <row r="48" spans="1:12" s="28" customFormat="1" x14ac:dyDescent="0.25">
      <c r="A48" s="25"/>
      <c r="B48" s="25"/>
      <c r="C48" s="27" t="str">
        <f>IF($B48="","",IFERROR(INDEX('Casos de Teste'!$D$5:$D$205,MATCH($B48,'Casos de Teste'!$A$5:$A$205,0)),"ID não encontrado"))</f>
        <v/>
      </c>
      <c r="D48" s="25"/>
      <c r="E48" s="26"/>
      <c r="F48" s="25"/>
      <c r="G48" s="25"/>
      <c r="H48" s="25"/>
      <c r="I48" s="25"/>
      <c r="J48" s="25"/>
      <c r="K48" s="25"/>
      <c r="L48" s="25"/>
    </row>
    <row r="49" spans="1:12" s="28" customFormat="1" x14ac:dyDescent="0.25">
      <c r="A49" s="25"/>
      <c r="B49" s="25"/>
      <c r="C49" s="27" t="str">
        <f>IF($B49="","",IFERROR(INDEX('Casos de Teste'!$D$5:$D$205,MATCH($B49,'Casos de Teste'!$A$5:$A$205,0)),"ID não encontrado"))</f>
        <v/>
      </c>
      <c r="D49" s="25"/>
      <c r="E49" s="26"/>
      <c r="F49" s="25"/>
      <c r="G49" s="25"/>
      <c r="H49" s="25"/>
      <c r="I49" s="25"/>
      <c r="J49" s="25"/>
      <c r="K49" s="25"/>
      <c r="L49" s="25"/>
    </row>
    <row r="50" spans="1:12" s="28" customFormat="1" x14ac:dyDescent="0.25">
      <c r="A50" s="25"/>
      <c r="B50" s="25"/>
      <c r="C50" s="27" t="str">
        <f>IF($B50="","",IFERROR(INDEX('Casos de Teste'!$D$5:$D$205,MATCH($B50,'Casos de Teste'!$A$5:$A$205,0)),"ID não encontrado"))</f>
        <v/>
      </c>
      <c r="D50" s="25"/>
      <c r="E50" s="26"/>
      <c r="F50" s="25"/>
      <c r="G50" s="25"/>
      <c r="H50" s="25"/>
      <c r="I50" s="25"/>
      <c r="J50" s="25"/>
      <c r="K50" s="25"/>
      <c r="L50" s="25"/>
    </row>
    <row r="51" spans="1:12" s="28" customFormat="1" x14ac:dyDescent="0.25">
      <c r="A51" s="25"/>
      <c r="B51" s="25"/>
      <c r="C51" s="27" t="str">
        <f>IF($B51="","",IFERROR(INDEX('Casos de Teste'!$D$5:$D$205,MATCH($B51,'Casos de Teste'!$A$5:$A$205,0)),"ID não encontrado"))</f>
        <v/>
      </c>
      <c r="D51" s="25"/>
      <c r="E51" s="26"/>
      <c r="F51" s="25"/>
      <c r="G51" s="25"/>
      <c r="H51" s="25"/>
      <c r="I51" s="25"/>
      <c r="J51" s="25"/>
      <c r="K51" s="25"/>
      <c r="L51" s="25"/>
    </row>
    <row r="52" spans="1:12" s="28" customFormat="1" x14ac:dyDescent="0.25">
      <c r="A52" s="25"/>
      <c r="B52" s="25"/>
      <c r="C52" s="27" t="str">
        <f>IF($B52="","",IFERROR(INDEX('Casos de Teste'!$D$5:$D$205,MATCH($B52,'Casos de Teste'!$A$5:$A$205,0)),"ID não encontrado"))</f>
        <v/>
      </c>
      <c r="D52" s="25"/>
      <c r="E52" s="26"/>
      <c r="F52" s="25"/>
      <c r="G52" s="25"/>
      <c r="H52" s="25"/>
      <c r="I52" s="25"/>
      <c r="J52" s="25"/>
      <c r="K52" s="25"/>
      <c r="L52" s="25"/>
    </row>
    <row r="53" spans="1:12" s="28" customFormat="1" x14ac:dyDescent="0.25">
      <c r="A53" s="25"/>
      <c r="B53" s="25"/>
      <c r="C53" s="27" t="str">
        <f>IF($B53="","",IFERROR(INDEX('Casos de Teste'!$D$5:$D$205,MATCH($B53,'Casos de Teste'!$A$5:$A$205,0)),"ID não encontrado"))</f>
        <v/>
      </c>
      <c r="D53" s="25"/>
      <c r="E53" s="26"/>
      <c r="F53" s="25"/>
      <c r="G53" s="25"/>
      <c r="H53" s="25"/>
      <c r="I53" s="25"/>
      <c r="J53" s="25"/>
      <c r="K53" s="25"/>
      <c r="L53" s="25"/>
    </row>
    <row r="54" spans="1:12" s="28" customFormat="1" x14ac:dyDescent="0.25">
      <c r="A54" s="25"/>
      <c r="B54" s="25"/>
      <c r="C54" s="27" t="str">
        <f>IF($B54="","",IFERROR(INDEX('Casos de Teste'!$D$5:$D$205,MATCH($B54,'Casos de Teste'!$A$5:$A$205,0)),"ID não encontrado"))</f>
        <v/>
      </c>
      <c r="D54" s="25"/>
      <c r="E54" s="26"/>
      <c r="F54" s="25"/>
      <c r="G54" s="25"/>
      <c r="H54" s="25"/>
      <c r="I54" s="25"/>
      <c r="J54" s="25"/>
      <c r="K54" s="25"/>
      <c r="L54" s="25"/>
    </row>
    <row r="55" spans="1:12" x14ac:dyDescent="0.25">
      <c r="A55" s="18"/>
      <c r="B55" s="18"/>
      <c r="C55" s="17" t="str">
        <f>IF($B55="","",IFERROR(INDEX('Casos de Teste'!$D$5:$D$205,MATCH($B55,'Casos de Teste'!$A$5:$A$205,0)),"ID não encontrado"))</f>
        <v/>
      </c>
      <c r="D55" s="18"/>
      <c r="E55" s="20"/>
      <c r="F55" s="18"/>
      <c r="G55" s="18"/>
      <c r="H55" s="18"/>
      <c r="I55" s="18"/>
      <c r="J55" s="18"/>
      <c r="K55" s="18"/>
      <c r="L55" s="18"/>
    </row>
    <row r="56" spans="1:12" x14ac:dyDescent="0.25">
      <c r="A56" s="18"/>
      <c r="B56" s="18"/>
      <c r="C56" s="17" t="str">
        <f>IF($B56="","",IFERROR(INDEX('Casos de Teste'!$D$5:$D$205,MATCH($B56,'Casos de Teste'!$A$5:$A$205,0)),"ID não encontrado"))</f>
        <v/>
      </c>
      <c r="D56" s="18"/>
      <c r="E56" s="20"/>
      <c r="F56" s="18"/>
      <c r="G56" s="18"/>
      <c r="H56" s="18"/>
      <c r="I56" s="18"/>
      <c r="J56" s="18"/>
      <c r="K56" s="18"/>
      <c r="L56" s="18"/>
    </row>
    <row r="57" spans="1:12" x14ac:dyDescent="0.25">
      <c r="A57" s="18"/>
      <c r="B57" s="18"/>
      <c r="C57" s="17" t="str">
        <f>IF($B57="","",IFERROR(INDEX('Casos de Teste'!$D$5:$D$205,MATCH($B57,'Casos de Teste'!$A$5:$A$205,0)),"ID não encontrado"))</f>
        <v/>
      </c>
      <c r="D57" s="18"/>
      <c r="E57" s="20"/>
      <c r="F57" s="18"/>
      <c r="G57" s="18"/>
      <c r="H57" s="18"/>
      <c r="I57" s="18"/>
      <c r="J57" s="18"/>
      <c r="K57" s="18"/>
      <c r="L57" s="18"/>
    </row>
    <row r="58" spans="1:12" x14ac:dyDescent="0.25">
      <c r="A58" s="18"/>
      <c r="B58" s="18"/>
      <c r="C58" s="17" t="str">
        <f>IF($B58="","",IFERROR(INDEX('Casos de Teste'!$D$5:$D$205,MATCH($B58,'Casos de Teste'!$A$5:$A$205,0)),"ID não encontrado"))</f>
        <v/>
      </c>
      <c r="D58" s="18"/>
      <c r="E58" s="20"/>
      <c r="F58" s="18"/>
      <c r="G58" s="18"/>
      <c r="H58" s="18"/>
      <c r="I58" s="18"/>
      <c r="J58" s="18"/>
      <c r="K58" s="18"/>
      <c r="L58" s="18"/>
    </row>
    <row r="59" spans="1:12" x14ac:dyDescent="0.25">
      <c r="A59" s="18"/>
      <c r="B59" s="18"/>
      <c r="C59" s="17" t="str">
        <f>IF($B59="","",IFERROR(INDEX('Casos de Teste'!$D$5:$D$205,MATCH($B59,'Casos de Teste'!$A$5:$A$205,0)),"ID não encontrado"))</f>
        <v/>
      </c>
      <c r="D59" s="18"/>
      <c r="E59" s="20"/>
      <c r="F59" s="18"/>
      <c r="G59" s="18"/>
      <c r="H59" s="18"/>
      <c r="I59" s="18"/>
      <c r="J59" s="18"/>
      <c r="K59" s="18"/>
      <c r="L59" s="18"/>
    </row>
    <row r="60" spans="1:12" x14ac:dyDescent="0.25">
      <c r="A60" s="18"/>
      <c r="B60" s="18"/>
      <c r="C60" s="17" t="str">
        <f>IF($B60="","",IFERROR(INDEX('Casos de Teste'!$D$5:$D$205,MATCH($B60,'Casos de Teste'!$A$5:$A$205,0)),"ID não encontrado"))</f>
        <v/>
      </c>
      <c r="D60" s="18"/>
      <c r="E60" s="20"/>
      <c r="F60" s="18"/>
      <c r="G60" s="18"/>
      <c r="H60" s="18"/>
      <c r="I60" s="18"/>
      <c r="J60" s="18"/>
      <c r="K60" s="18"/>
      <c r="L60" s="18"/>
    </row>
    <row r="61" spans="1:12" x14ac:dyDescent="0.25">
      <c r="A61" s="18"/>
      <c r="B61" s="18"/>
      <c r="C61" s="17" t="str">
        <f>IF($B61="","",IFERROR(INDEX('Casos de Teste'!$D$5:$D$205,MATCH($B61,'Casos de Teste'!$A$5:$A$205,0)),"ID não encontrado"))</f>
        <v/>
      </c>
      <c r="D61" s="18"/>
      <c r="E61" s="20"/>
      <c r="F61" s="18"/>
      <c r="G61" s="18"/>
      <c r="H61" s="18"/>
      <c r="I61" s="18"/>
      <c r="J61" s="18"/>
      <c r="K61" s="18"/>
      <c r="L61" s="18"/>
    </row>
    <row r="62" spans="1:12" x14ac:dyDescent="0.25">
      <c r="A62" s="18"/>
      <c r="B62" s="18"/>
      <c r="C62" s="17" t="str">
        <f>IF($B62="","",IFERROR(INDEX('Casos de Teste'!$D$5:$D$205,MATCH($B62,'Casos de Teste'!$A$5:$A$205,0)),"ID não encontrado"))</f>
        <v/>
      </c>
      <c r="D62" s="18"/>
      <c r="E62" s="20"/>
      <c r="F62" s="18"/>
      <c r="G62" s="18"/>
      <c r="H62" s="18"/>
      <c r="I62" s="18"/>
      <c r="J62" s="18"/>
      <c r="K62" s="18"/>
      <c r="L62" s="18"/>
    </row>
    <row r="63" spans="1:12" x14ac:dyDescent="0.25">
      <c r="A63" s="18"/>
      <c r="B63" s="18"/>
      <c r="C63" s="17" t="str">
        <f>IF($B63="","",IFERROR(INDEX('Casos de Teste'!$D$5:$D$205,MATCH($B63,'Casos de Teste'!$A$5:$A$205,0)),"ID não encontrado"))</f>
        <v/>
      </c>
      <c r="D63" s="18"/>
      <c r="E63" s="20"/>
      <c r="F63" s="18"/>
      <c r="G63" s="18"/>
      <c r="H63" s="18"/>
      <c r="I63" s="18"/>
      <c r="J63" s="18"/>
      <c r="K63" s="18"/>
      <c r="L63" s="18"/>
    </row>
    <row r="64" spans="1:12" x14ac:dyDescent="0.25">
      <c r="A64" s="18"/>
      <c r="B64" s="18"/>
      <c r="C64" s="17" t="str">
        <f>IF($B64="","",IFERROR(INDEX('Casos de Teste'!$D$5:$D$205,MATCH($B64,'Casos de Teste'!$A$5:$A$205,0)),"ID não encontrado"))</f>
        <v/>
      </c>
      <c r="D64" s="18"/>
      <c r="E64" s="20"/>
      <c r="F64" s="18"/>
      <c r="G64" s="18"/>
      <c r="H64" s="18"/>
      <c r="I64" s="18"/>
      <c r="J64" s="18"/>
      <c r="K64" s="18"/>
      <c r="L64" s="18"/>
    </row>
    <row r="65" spans="1:12" x14ac:dyDescent="0.25">
      <c r="A65" s="18"/>
      <c r="B65" s="18"/>
      <c r="C65" s="17" t="str">
        <f>IF($B65="","",IFERROR(INDEX('Casos de Teste'!$D$5:$D$205,MATCH($B65,'Casos de Teste'!$A$5:$A$205,0)),"ID não encontrado"))</f>
        <v/>
      </c>
      <c r="D65" s="18"/>
      <c r="E65" s="20"/>
      <c r="F65" s="18"/>
      <c r="G65" s="18"/>
      <c r="H65" s="18"/>
      <c r="I65" s="18"/>
      <c r="J65" s="18"/>
      <c r="K65" s="18"/>
      <c r="L65" s="18"/>
    </row>
    <row r="66" spans="1:12" x14ac:dyDescent="0.25">
      <c r="A66" s="18"/>
      <c r="B66" s="18"/>
      <c r="C66" s="17" t="str">
        <f>IF($B66="","",IFERROR(INDEX('Casos de Teste'!$D$5:$D$205,MATCH($B66,'Casos de Teste'!$A$5:$A$205,0)),"ID não encontrado"))</f>
        <v/>
      </c>
      <c r="D66" s="18"/>
      <c r="E66" s="20"/>
      <c r="F66" s="18"/>
      <c r="G66" s="18"/>
      <c r="H66" s="18"/>
      <c r="I66" s="18"/>
      <c r="J66" s="18"/>
      <c r="K66" s="18"/>
      <c r="L66" s="18"/>
    </row>
    <row r="67" spans="1:12" x14ac:dyDescent="0.25">
      <c r="A67" s="18"/>
      <c r="B67" s="18"/>
      <c r="C67" s="17" t="str">
        <f>IF($B67="","",IFERROR(INDEX('Casos de Teste'!$D$5:$D$205,MATCH($B67,'Casos de Teste'!$A$5:$A$205,0)),"ID não encontrado"))</f>
        <v/>
      </c>
      <c r="D67" s="18"/>
      <c r="E67" s="20"/>
      <c r="F67" s="18"/>
      <c r="G67" s="18"/>
      <c r="H67" s="18"/>
      <c r="I67" s="18"/>
      <c r="J67" s="18"/>
      <c r="K67" s="18"/>
      <c r="L67" s="18"/>
    </row>
    <row r="68" spans="1:12" x14ac:dyDescent="0.25">
      <c r="A68" s="18"/>
      <c r="B68" s="18"/>
      <c r="C68" s="17" t="str">
        <f>IF($B68="","",IFERROR(INDEX('Casos de Teste'!$D$5:$D$205,MATCH($B68,'Casos de Teste'!$A$5:$A$205,0)),"ID não encontrado"))</f>
        <v/>
      </c>
      <c r="D68" s="18"/>
      <c r="E68" s="20"/>
      <c r="F68" s="18"/>
      <c r="G68" s="18"/>
      <c r="H68" s="18"/>
      <c r="I68" s="18"/>
      <c r="J68" s="18"/>
      <c r="K68" s="18"/>
      <c r="L68" s="18"/>
    </row>
    <row r="69" spans="1:12" x14ac:dyDescent="0.25">
      <c r="A69" s="18"/>
      <c r="B69" s="18"/>
      <c r="C69" s="17" t="str">
        <f>IF($B69="","",IFERROR(INDEX('Casos de Teste'!$D$5:$D$205,MATCH($B69,'Casos de Teste'!$A$5:$A$205,0)),"ID não encontrado"))</f>
        <v/>
      </c>
      <c r="D69" s="18"/>
      <c r="E69" s="20"/>
      <c r="F69" s="18"/>
      <c r="G69" s="18"/>
      <c r="H69" s="18"/>
      <c r="I69" s="18"/>
      <c r="J69" s="18"/>
      <c r="K69" s="18"/>
      <c r="L69" s="18"/>
    </row>
    <row r="70" spans="1:12" x14ac:dyDescent="0.25">
      <c r="A70" s="18"/>
      <c r="B70" s="18"/>
      <c r="C70" s="17" t="str">
        <f>IF($B70="","",IFERROR(INDEX('Casos de Teste'!$D$5:$D$205,MATCH($B70,'Casos de Teste'!$A$5:$A$205,0)),"ID não encontrado"))</f>
        <v/>
      </c>
      <c r="D70" s="18"/>
      <c r="E70" s="20"/>
      <c r="F70" s="18"/>
      <c r="G70" s="18"/>
      <c r="H70" s="18"/>
      <c r="I70" s="18"/>
      <c r="J70" s="18"/>
      <c r="K70" s="18"/>
      <c r="L70" s="18"/>
    </row>
    <row r="71" spans="1:12" x14ac:dyDescent="0.25">
      <c r="A71" s="18"/>
      <c r="B71" s="18"/>
      <c r="C71" s="17" t="str">
        <f>IF($B71="","",IFERROR(INDEX('Casos de Teste'!$D$5:$D$205,MATCH($B71,'Casos de Teste'!$A$5:$A$205,0)),"ID não encontrado"))</f>
        <v/>
      </c>
      <c r="D71" s="18"/>
      <c r="E71" s="20"/>
      <c r="F71" s="18"/>
      <c r="G71" s="18"/>
      <c r="H71" s="18"/>
      <c r="I71" s="18"/>
      <c r="J71" s="18"/>
      <c r="K71" s="18"/>
      <c r="L71" s="18"/>
    </row>
    <row r="72" spans="1:12" x14ac:dyDescent="0.25">
      <c r="A72" s="18"/>
      <c r="B72" s="18"/>
      <c r="C72" s="17" t="str">
        <f>IF($B72="","",IFERROR(INDEX('Casos de Teste'!$D$5:$D$205,MATCH($B72,'Casos de Teste'!$A$5:$A$205,0)),"ID não encontrado"))</f>
        <v/>
      </c>
      <c r="D72" s="18"/>
      <c r="E72" s="20"/>
      <c r="F72" s="18"/>
      <c r="G72" s="18"/>
      <c r="H72" s="18"/>
      <c r="I72" s="18"/>
      <c r="J72" s="18"/>
      <c r="K72" s="18"/>
      <c r="L72" s="18"/>
    </row>
    <row r="73" spans="1:12" x14ac:dyDescent="0.25">
      <c r="A73" s="18"/>
      <c r="B73" s="18"/>
      <c r="C73" s="17" t="str">
        <f>IF($B73="","",IFERROR(INDEX('Casos de Teste'!$D$5:$D$205,MATCH($B73,'Casos de Teste'!$A$5:$A$205,0)),"ID não encontrado"))</f>
        <v/>
      </c>
      <c r="D73" s="18"/>
      <c r="E73" s="20"/>
      <c r="F73" s="18"/>
      <c r="G73" s="18"/>
      <c r="H73" s="18"/>
      <c r="I73" s="18"/>
      <c r="J73" s="18"/>
      <c r="K73" s="18"/>
      <c r="L73" s="18"/>
    </row>
    <row r="74" spans="1:12" x14ac:dyDescent="0.25">
      <c r="A74" s="18"/>
      <c r="B74" s="18"/>
      <c r="C74" s="17" t="str">
        <f>IF($B74="","",IFERROR(INDEX('Casos de Teste'!$D$5:$D$205,MATCH($B74,'Casos de Teste'!$A$5:$A$205,0)),"ID não encontrado"))</f>
        <v/>
      </c>
      <c r="D74" s="18"/>
      <c r="E74" s="20"/>
      <c r="F74" s="18"/>
      <c r="G74" s="18"/>
      <c r="H74" s="18"/>
      <c r="I74" s="18"/>
      <c r="J74" s="18"/>
      <c r="K74" s="18"/>
      <c r="L74" s="18"/>
    </row>
    <row r="75" spans="1:12" x14ac:dyDescent="0.25">
      <c r="A75" s="18"/>
      <c r="B75" s="18"/>
      <c r="C75" s="17" t="str">
        <f>IF($B75="","",IFERROR(INDEX('Casos de Teste'!$D$5:$D$205,MATCH($B75,'Casos de Teste'!$A$5:$A$205,0)),"ID não encontrado"))</f>
        <v/>
      </c>
      <c r="D75" s="18"/>
      <c r="E75" s="20"/>
      <c r="F75" s="18"/>
      <c r="G75" s="18"/>
      <c r="H75" s="18"/>
      <c r="I75" s="18"/>
      <c r="J75" s="18"/>
      <c r="K75" s="18"/>
      <c r="L75" s="18"/>
    </row>
    <row r="76" spans="1:12" x14ac:dyDescent="0.25">
      <c r="A76" s="18"/>
      <c r="B76" s="18"/>
      <c r="C76" s="17" t="str">
        <f>IF($B76="","",IFERROR(INDEX('Casos de Teste'!$D$5:$D$205,MATCH($B76,'Casos de Teste'!$A$5:$A$205,0)),"ID não encontrado"))</f>
        <v/>
      </c>
      <c r="D76" s="18"/>
      <c r="E76" s="20"/>
      <c r="F76" s="18"/>
      <c r="G76" s="18"/>
      <c r="H76" s="18"/>
      <c r="I76" s="18"/>
      <c r="J76" s="18"/>
      <c r="K76" s="18"/>
      <c r="L76" s="18"/>
    </row>
    <row r="77" spans="1:12" x14ac:dyDescent="0.25">
      <c r="A77" s="18"/>
      <c r="B77" s="18"/>
      <c r="C77" s="17" t="str">
        <f>IF($B77="","",IFERROR(INDEX('Casos de Teste'!$D$5:$D$205,MATCH($B77,'Casos de Teste'!$A$5:$A$205,0)),"ID não encontrado"))</f>
        <v/>
      </c>
      <c r="D77" s="18"/>
      <c r="E77" s="20"/>
      <c r="F77" s="18"/>
      <c r="G77" s="18"/>
      <c r="H77" s="18"/>
      <c r="I77" s="18"/>
      <c r="J77" s="18"/>
      <c r="K77" s="18"/>
      <c r="L77" s="18"/>
    </row>
    <row r="78" spans="1:12" x14ac:dyDescent="0.25">
      <c r="A78" s="18"/>
      <c r="B78" s="18"/>
      <c r="C78" s="17" t="str">
        <f>IF($B78="","",IFERROR(INDEX('Casos de Teste'!$D$5:$D$205,MATCH($B78,'Casos de Teste'!$A$5:$A$205,0)),"ID não encontrado"))</f>
        <v/>
      </c>
      <c r="D78" s="18"/>
      <c r="E78" s="20"/>
      <c r="F78" s="18"/>
      <c r="G78" s="18"/>
      <c r="H78" s="18"/>
      <c r="I78" s="18"/>
      <c r="J78" s="18"/>
      <c r="K78" s="18"/>
      <c r="L78" s="18"/>
    </row>
    <row r="79" spans="1:12" x14ac:dyDescent="0.25">
      <c r="A79" s="18"/>
      <c r="B79" s="18"/>
      <c r="C79" s="17" t="str">
        <f>IF($B79="","",IFERROR(INDEX('Casos de Teste'!$D$5:$D$205,MATCH($B79,'Casos de Teste'!$A$5:$A$205,0)),"ID não encontrado"))</f>
        <v/>
      </c>
      <c r="D79" s="18"/>
      <c r="E79" s="20"/>
      <c r="F79" s="18"/>
      <c r="G79" s="18"/>
      <c r="H79" s="18"/>
      <c r="I79" s="18"/>
      <c r="J79" s="18"/>
      <c r="K79" s="18"/>
      <c r="L79" s="18"/>
    </row>
    <row r="80" spans="1:12" x14ac:dyDescent="0.25">
      <c r="A80" s="18"/>
      <c r="B80" s="18"/>
      <c r="C80" s="17" t="str">
        <f>IF($B80="","",IFERROR(INDEX('Casos de Teste'!$D$5:$D$205,MATCH($B80,'Casos de Teste'!$A$5:$A$205,0)),"ID não encontrado"))</f>
        <v/>
      </c>
      <c r="D80" s="18"/>
      <c r="E80" s="20"/>
      <c r="F80" s="18"/>
      <c r="G80" s="18"/>
      <c r="H80" s="18"/>
      <c r="I80" s="18"/>
      <c r="J80" s="18"/>
      <c r="K80" s="18"/>
      <c r="L80" s="18"/>
    </row>
    <row r="81" spans="1:12" x14ac:dyDescent="0.25">
      <c r="A81" s="18"/>
      <c r="B81" s="18"/>
      <c r="C81" s="17" t="str">
        <f>IF($B81="","",IFERROR(INDEX('Casos de Teste'!$D$5:$D$205,MATCH($B81,'Casos de Teste'!$A$5:$A$205,0)),"ID não encontrado"))</f>
        <v/>
      </c>
      <c r="D81" s="18"/>
      <c r="E81" s="20"/>
      <c r="F81" s="18"/>
      <c r="G81" s="18"/>
      <c r="H81" s="18"/>
      <c r="I81" s="18"/>
      <c r="J81" s="18"/>
      <c r="K81" s="18"/>
      <c r="L81" s="18"/>
    </row>
    <row r="82" spans="1:12" x14ac:dyDescent="0.25">
      <c r="A82" s="18"/>
      <c r="B82" s="18"/>
      <c r="C82" s="17" t="str">
        <f>IF($B82="","",IFERROR(INDEX('Casos de Teste'!$D$5:$D$205,MATCH($B82,'Casos de Teste'!$A$5:$A$205,0)),"ID não encontrado"))</f>
        <v/>
      </c>
      <c r="D82" s="18"/>
      <c r="E82" s="20"/>
      <c r="F82" s="18"/>
      <c r="G82" s="18"/>
      <c r="H82" s="18"/>
      <c r="I82" s="18"/>
      <c r="J82" s="18"/>
      <c r="K82" s="18"/>
      <c r="L82" s="18"/>
    </row>
    <row r="83" spans="1:12" x14ac:dyDescent="0.25">
      <c r="A83" s="18"/>
      <c r="B83" s="18"/>
      <c r="C83" s="17" t="str">
        <f>IF($B83="","",IFERROR(INDEX('Casos de Teste'!$D$5:$D$205,MATCH($B83,'Casos de Teste'!$A$5:$A$205,0)),"ID não encontrado"))</f>
        <v/>
      </c>
      <c r="D83" s="18"/>
      <c r="E83" s="20"/>
      <c r="F83" s="18"/>
      <c r="G83" s="18"/>
      <c r="H83" s="18"/>
      <c r="I83" s="18"/>
      <c r="J83" s="18"/>
      <c r="K83" s="18"/>
      <c r="L83" s="18"/>
    </row>
    <row r="84" spans="1:12" x14ac:dyDescent="0.25">
      <c r="A84" s="18"/>
      <c r="B84" s="18"/>
      <c r="C84" s="17" t="str">
        <f>IF($B84="","",IFERROR(INDEX('Casos de Teste'!$D$5:$D$205,MATCH($B84,'Casos de Teste'!$A$5:$A$205,0)),"ID não encontrado"))</f>
        <v/>
      </c>
      <c r="D84" s="18"/>
      <c r="E84" s="20"/>
      <c r="F84" s="18"/>
      <c r="G84" s="18"/>
      <c r="H84" s="18"/>
      <c r="I84" s="18"/>
      <c r="J84" s="18"/>
      <c r="K84" s="18"/>
      <c r="L84" s="18"/>
    </row>
    <row r="85" spans="1:12" x14ac:dyDescent="0.25">
      <c r="A85" s="18"/>
      <c r="B85" s="18"/>
      <c r="C85" s="17" t="str">
        <f>IF($B85="","",IFERROR(INDEX('Casos de Teste'!$D$5:$D$205,MATCH($B85,'Casos de Teste'!$A$5:$A$205,0)),"ID não encontrado"))</f>
        <v/>
      </c>
      <c r="D85" s="18"/>
      <c r="E85" s="20"/>
      <c r="F85" s="18"/>
      <c r="G85" s="18"/>
      <c r="H85" s="18"/>
      <c r="I85" s="18"/>
      <c r="J85" s="18"/>
      <c r="K85" s="18"/>
      <c r="L85" s="18"/>
    </row>
    <row r="86" spans="1:12" x14ac:dyDescent="0.25">
      <c r="A86" s="18"/>
      <c r="B86" s="18"/>
      <c r="C86" s="17" t="str">
        <f>IF($B86="","",IFERROR(INDEX('Casos de Teste'!$D$5:$D$205,MATCH($B86,'Casos de Teste'!$A$5:$A$205,0)),"ID não encontrado"))</f>
        <v/>
      </c>
      <c r="D86" s="18"/>
      <c r="E86" s="20"/>
      <c r="F86" s="18"/>
      <c r="G86" s="18"/>
      <c r="H86" s="18"/>
      <c r="I86" s="18"/>
      <c r="J86" s="18"/>
      <c r="K86" s="18"/>
      <c r="L86" s="18"/>
    </row>
    <row r="87" spans="1:12" x14ac:dyDescent="0.25">
      <c r="A87" s="18"/>
      <c r="B87" s="18"/>
      <c r="C87" s="17" t="str">
        <f>IF($B87="","",IFERROR(INDEX('Casos de Teste'!$D$5:$D$205,MATCH($B87,'Casos de Teste'!$A$5:$A$205,0)),"ID não encontrado"))</f>
        <v/>
      </c>
      <c r="D87" s="18"/>
      <c r="E87" s="20"/>
      <c r="F87" s="18"/>
      <c r="G87" s="18"/>
      <c r="H87" s="18"/>
      <c r="I87" s="18"/>
      <c r="J87" s="18"/>
      <c r="K87" s="18"/>
      <c r="L87" s="18"/>
    </row>
    <row r="88" spans="1:12" x14ac:dyDescent="0.25">
      <c r="A88" s="18"/>
      <c r="B88" s="18"/>
      <c r="C88" s="17" t="str">
        <f>IF($B88="","",IFERROR(INDEX('Casos de Teste'!$D$5:$D$205,MATCH($B88,'Casos de Teste'!$A$5:$A$205,0)),"ID não encontrado"))</f>
        <v/>
      </c>
      <c r="D88" s="18"/>
      <c r="E88" s="20"/>
      <c r="F88" s="18"/>
      <c r="G88" s="18"/>
      <c r="H88" s="18"/>
      <c r="I88" s="18"/>
      <c r="J88" s="18"/>
      <c r="K88" s="18"/>
      <c r="L88" s="18"/>
    </row>
    <row r="89" spans="1:12" x14ac:dyDescent="0.25">
      <c r="A89" s="18"/>
      <c r="B89" s="18"/>
      <c r="C89" s="17" t="str">
        <f>IF($B89="","",IFERROR(INDEX('Casos de Teste'!$D$5:$D$205,MATCH($B89,'Casos de Teste'!$A$5:$A$205,0)),"ID não encontrado"))</f>
        <v/>
      </c>
      <c r="D89" s="18"/>
      <c r="E89" s="20"/>
      <c r="F89" s="18"/>
      <c r="G89" s="18"/>
      <c r="H89" s="18"/>
      <c r="I89" s="18"/>
      <c r="J89" s="18"/>
      <c r="K89" s="18"/>
      <c r="L89" s="18"/>
    </row>
    <row r="90" spans="1:12" x14ac:dyDescent="0.25">
      <c r="A90" s="18"/>
      <c r="B90" s="18"/>
      <c r="C90" s="17" t="str">
        <f>IF($B90="","",IFERROR(INDEX('Casos de Teste'!$D$5:$D$205,MATCH($B90,'Casos de Teste'!$A$5:$A$205,0)),"ID não encontrado"))</f>
        <v/>
      </c>
      <c r="D90" s="18"/>
      <c r="E90" s="20"/>
      <c r="F90" s="18"/>
      <c r="G90" s="18"/>
      <c r="H90" s="18"/>
      <c r="I90" s="18"/>
      <c r="J90" s="18"/>
      <c r="K90" s="18"/>
      <c r="L90" s="18"/>
    </row>
    <row r="91" spans="1:12" x14ac:dyDescent="0.25">
      <c r="A91" s="18"/>
      <c r="B91" s="18"/>
      <c r="C91" s="17" t="str">
        <f>IF($B91="","",IFERROR(INDEX('Casos de Teste'!$D$5:$D$205,MATCH($B91,'Casos de Teste'!$A$5:$A$205,0)),"ID não encontrado"))</f>
        <v/>
      </c>
      <c r="D91" s="18"/>
      <c r="E91" s="20"/>
      <c r="F91" s="18"/>
      <c r="G91" s="18"/>
      <c r="H91" s="18"/>
      <c r="I91" s="18"/>
      <c r="J91" s="18"/>
      <c r="K91" s="18"/>
      <c r="L91" s="18"/>
    </row>
    <row r="92" spans="1:12" x14ac:dyDescent="0.25">
      <c r="A92" s="18"/>
      <c r="B92" s="18"/>
      <c r="C92" s="17" t="str">
        <f>IF($B92="","",IFERROR(INDEX('Casos de Teste'!$D$5:$D$205,MATCH($B92,'Casos de Teste'!$A$5:$A$205,0)),"ID não encontrado"))</f>
        <v/>
      </c>
      <c r="D92" s="18"/>
      <c r="E92" s="20"/>
      <c r="F92" s="18"/>
      <c r="G92" s="18"/>
      <c r="H92" s="18"/>
      <c r="I92" s="18"/>
      <c r="J92" s="18"/>
      <c r="K92" s="18"/>
      <c r="L92" s="18"/>
    </row>
    <row r="93" spans="1:12" x14ac:dyDescent="0.25">
      <c r="A93" s="18"/>
      <c r="B93" s="18"/>
      <c r="C93" s="17" t="str">
        <f>IF($B93="","",IFERROR(INDEX('Casos de Teste'!$D$5:$D$205,MATCH($B93,'Casos de Teste'!$A$5:$A$205,0)),"ID não encontrado"))</f>
        <v/>
      </c>
      <c r="D93" s="18"/>
      <c r="E93" s="20"/>
      <c r="F93" s="18"/>
      <c r="G93" s="18"/>
      <c r="H93" s="18"/>
      <c r="I93" s="18"/>
      <c r="J93" s="18"/>
      <c r="K93" s="18"/>
      <c r="L93" s="18"/>
    </row>
    <row r="94" spans="1:12" x14ac:dyDescent="0.25">
      <c r="A94" s="18"/>
      <c r="B94" s="18"/>
      <c r="C94" s="17" t="str">
        <f>IF($B94="","",IFERROR(INDEX('Casos de Teste'!$D$5:$D$205,MATCH($B94,'Casos de Teste'!$A$5:$A$205,0)),"ID não encontrado"))</f>
        <v/>
      </c>
      <c r="D94" s="18"/>
      <c r="E94" s="20"/>
      <c r="F94" s="18"/>
      <c r="G94" s="18"/>
      <c r="H94" s="18"/>
      <c r="I94" s="18"/>
      <c r="J94" s="18"/>
      <c r="K94" s="18"/>
      <c r="L94" s="18"/>
    </row>
    <row r="95" spans="1:12" x14ac:dyDescent="0.25">
      <c r="A95" s="18"/>
      <c r="B95" s="18"/>
      <c r="C95" s="17" t="str">
        <f>IF($B95="","",IFERROR(INDEX('Casos de Teste'!$D$5:$D$205,MATCH($B95,'Casos de Teste'!$A$5:$A$205,0)),"ID não encontrado"))</f>
        <v/>
      </c>
      <c r="D95" s="18"/>
      <c r="E95" s="20"/>
      <c r="F95" s="18"/>
      <c r="G95" s="18"/>
      <c r="H95" s="18"/>
      <c r="I95" s="18"/>
      <c r="J95" s="18"/>
      <c r="K95" s="18"/>
      <c r="L95" s="18"/>
    </row>
    <row r="96" spans="1:12" x14ac:dyDescent="0.25">
      <c r="A96" s="18"/>
      <c r="B96" s="18"/>
      <c r="C96" s="17" t="str">
        <f>IF($B96="","",IFERROR(INDEX('Casos de Teste'!$D$5:$D$205,MATCH($B96,'Casos de Teste'!$A$5:$A$205,0)),"ID não encontrado"))</f>
        <v/>
      </c>
      <c r="D96" s="18"/>
      <c r="E96" s="20"/>
      <c r="F96" s="18"/>
      <c r="G96" s="18"/>
      <c r="H96" s="18"/>
      <c r="I96" s="18"/>
      <c r="J96" s="18"/>
      <c r="K96" s="18"/>
      <c r="L96" s="18"/>
    </row>
    <row r="97" spans="1:12" x14ac:dyDescent="0.25">
      <c r="A97" s="18"/>
      <c r="B97" s="18"/>
      <c r="C97" s="17" t="str">
        <f>IF($B97="","",IFERROR(INDEX('Casos de Teste'!$D$5:$D$205,MATCH($B97,'Casos de Teste'!$A$5:$A$205,0)),"ID não encontrado"))</f>
        <v/>
      </c>
      <c r="D97" s="18"/>
      <c r="E97" s="20"/>
      <c r="F97" s="18"/>
      <c r="G97" s="18"/>
      <c r="H97" s="18"/>
      <c r="I97" s="18"/>
      <c r="J97" s="18"/>
      <c r="K97" s="18"/>
      <c r="L97" s="18"/>
    </row>
    <row r="98" spans="1:12" x14ac:dyDescent="0.25">
      <c r="A98" s="18"/>
      <c r="B98" s="18"/>
      <c r="C98" s="17" t="str">
        <f>IF($B98="","",IFERROR(INDEX('Casos de Teste'!$D$5:$D$205,MATCH($B98,'Casos de Teste'!$A$5:$A$205,0)),"ID não encontrado"))</f>
        <v/>
      </c>
      <c r="D98" s="18"/>
      <c r="E98" s="20"/>
      <c r="F98" s="18"/>
      <c r="G98" s="18"/>
      <c r="H98" s="18"/>
      <c r="I98" s="18"/>
      <c r="J98" s="18"/>
      <c r="K98" s="18"/>
      <c r="L98" s="18"/>
    </row>
    <row r="99" spans="1:12" x14ac:dyDescent="0.25">
      <c r="A99" s="18"/>
      <c r="B99" s="18"/>
      <c r="C99" s="17" t="str">
        <f>IF($B99="","",IFERROR(INDEX('Casos de Teste'!$D$5:$D$205,MATCH($B99,'Casos de Teste'!$A$5:$A$205,0)),"ID não encontrado"))</f>
        <v/>
      </c>
      <c r="D99" s="18"/>
      <c r="E99" s="20"/>
      <c r="F99" s="18"/>
      <c r="G99" s="18"/>
      <c r="H99" s="18"/>
      <c r="I99" s="18"/>
      <c r="J99" s="18"/>
      <c r="K99" s="18"/>
      <c r="L99" s="18"/>
    </row>
    <row r="100" spans="1:12" x14ac:dyDescent="0.25">
      <c r="A100" s="18"/>
      <c r="B100" s="18"/>
      <c r="C100" s="17" t="str">
        <f>IF($B100="","",IFERROR(INDEX('Casos de Teste'!$D$5:$D$205,MATCH($B100,'Casos de Teste'!$A$5:$A$205,0)),"ID não encontrado"))</f>
        <v/>
      </c>
      <c r="D100" s="18"/>
      <c r="E100" s="20"/>
      <c r="F100" s="18"/>
      <c r="G100" s="18"/>
      <c r="H100" s="18"/>
      <c r="I100" s="18"/>
      <c r="J100" s="18"/>
      <c r="K100" s="18"/>
      <c r="L100" s="18"/>
    </row>
    <row r="101" spans="1:12" x14ac:dyDescent="0.25">
      <c r="A101" s="18"/>
      <c r="B101" s="18"/>
      <c r="C101" s="17" t="str">
        <f>IF($B101="","",IFERROR(INDEX('Casos de Teste'!$D$5:$D$205,MATCH($B101,'Casos de Teste'!$A$5:$A$205,0)),"ID não encontrado"))</f>
        <v/>
      </c>
      <c r="D101" s="18"/>
      <c r="E101" s="20"/>
      <c r="F101" s="18"/>
      <c r="G101" s="18"/>
      <c r="H101" s="18"/>
      <c r="I101" s="18"/>
      <c r="J101" s="18"/>
      <c r="K101" s="18"/>
      <c r="L101" s="18"/>
    </row>
    <row r="102" spans="1:12" x14ac:dyDescent="0.25">
      <c r="A102" s="18"/>
      <c r="B102" s="18"/>
      <c r="C102" s="17" t="str">
        <f>IF($B102="","",IFERROR(INDEX('Casos de Teste'!$D$5:$D$205,MATCH($B102,'Casos de Teste'!$A$5:$A$205,0)),"ID não encontrado"))</f>
        <v/>
      </c>
      <c r="D102" s="18"/>
      <c r="E102" s="20"/>
      <c r="F102" s="18"/>
      <c r="G102" s="18"/>
      <c r="H102" s="18"/>
      <c r="I102" s="18"/>
      <c r="J102" s="18"/>
      <c r="K102" s="18"/>
      <c r="L102" s="18"/>
    </row>
    <row r="103" spans="1:12" x14ac:dyDescent="0.25">
      <c r="A103" s="18"/>
      <c r="B103" s="18"/>
      <c r="C103" s="17" t="str">
        <f>IF($B103="","",IFERROR(INDEX('Casos de Teste'!$D$5:$D$205,MATCH($B103,'Casos de Teste'!$A$5:$A$205,0)),"ID não encontrado"))</f>
        <v/>
      </c>
      <c r="D103" s="18"/>
      <c r="E103" s="20"/>
      <c r="F103" s="18"/>
      <c r="G103" s="18"/>
      <c r="H103" s="18"/>
      <c r="I103" s="18"/>
      <c r="J103" s="18"/>
      <c r="K103" s="18"/>
      <c r="L103" s="18"/>
    </row>
    <row r="104" spans="1:12" x14ac:dyDescent="0.25">
      <c r="A104" s="18"/>
      <c r="B104" s="18"/>
      <c r="C104" s="17" t="str">
        <f>IF($B104="","",IFERROR(INDEX('Casos de Teste'!$D$5:$D$205,MATCH($B104,'Casos de Teste'!$A$5:$A$205,0)),"ID não encontrado"))</f>
        <v/>
      </c>
      <c r="D104" s="18"/>
      <c r="E104" s="20"/>
      <c r="F104" s="18"/>
      <c r="G104" s="18"/>
      <c r="H104" s="18"/>
      <c r="I104" s="18"/>
      <c r="J104" s="18"/>
      <c r="K104" s="18"/>
      <c r="L104" s="18"/>
    </row>
    <row r="105" spans="1:12" x14ac:dyDescent="0.25">
      <c r="A105" s="18"/>
      <c r="B105" s="18"/>
      <c r="C105" s="17" t="str">
        <f>IF($B105="","",IFERROR(INDEX('Casos de Teste'!$D$5:$D$205,MATCH($B105,'Casos de Teste'!$A$5:$A$205,0)),"ID não encontrado"))</f>
        <v/>
      </c>
      <c r="D105" s="18"/>
      <c r="E105" s="20"/>
      <c r="F105" s="18"/>
      <c r="G105" s="18"/>
      <c r="H105" s="18"/>
      <c r="I105" s="18"/>
      <c r="J105" s="18"/>
      <c r="K105" s="18"/>
      <c r="L105" s="18"/>
    </row>
    <row r="106" spans="1:12" x14ac:dyDescent="0.25">
      <c r="A106" s="18"/>
      <c r="B106" s="18"/>
      <c r="C106" s="17" t="str">
        <f>IF($B106="","",IFERROR(INDEX('Casos de Teste'!$D$5:$D$205,MATCH($B106,'Casos de Teste'!$A$5:$A$205,0)),"ID não encontrado"))</f>
        <v/>
      </c>
      <c r="D106" s="18"/>
      <c r="E106" s="20"/>
      <c r="F106" s="18"/>
      <c r="G106" s="18"/>
      <c r="H106" s="18"/>
      <c r="I106" s="18"/>
      <c r="J106" s="18"/>
      <c r="K106" s="18"/>
      <c r="L106" s="18"/>
    </row>
    <row r="107" spans="1:12" x14ac:dyDescent="0.25">
      <c r="A107" s="18"/>
      <c r="B107" s="18"/>
      <c r="C107" s="17" t="str">
        <f>IF($B107="","",IFERROR(INDEX('Casos de Teste'!$D$5:$D$205,MATCH($B107,'Casos de Teste'!$A$5:$A$205,0)),"ID não encontrado"))</f>
        <v/>
      </c>
      <c r="D107" s="18"/>
      <c r="E107" s="20"/>
      <c r="F107" s="18"/>
      <c r="G107" s="18"/>
      <c r="H107" s="18"/>
      <c r="I107" s="18"/>
      <c r="J107" s="18"/>
      <c r="K107" s="18"/>
      <c r="L107" s="18"/>
    </row>
    <row r="108" spans="1:12" x14ac:dyDescent="0.25">
      <c r="A108" s="18"/>
      <c r="B108" s="18"/>
      <c r="C108" s="17" t="str">
        <f>IF($B108="","",IFERROR(INDEX('Casos de Teste'!$D$5:$D$205,MATCH($B108,'Casos de Teste'!$A$5:$A$205,0)),"ID não encontrado"))</f>
        <v/>
      </c>
      <c r="D108" s="18"/>
      <c r="E108" s="20"/>
      <c r="F108" s="18"/>
      <c r="G108" s="18"/>
      <c r="H108" s="18"/>
      <c r="I108" s="18"/>
      <c r="J108" s="18"/>
      <c r="K108" s="18"/>
      <c r="L108" s="18"/>
    </row>
    <row r="109" spans="1:12" x14ac:dyDescent="0.25">
      <c r="A109" s="18"/>
      <c r="B109" s="18"/>
      <c r="C109" s="17" t="str">
        <f>IF($B109="","",IFERROR(INDEX('Casos de Teste'!$D$5:$D$205,MATCH($B109,'Casos de Teste'!$A$5:$A$205,0)),"ID não encontrado"))</f>
        <v/>
      </c>
      <c r="D109" s="18"/>
      <c r="E109" s="20"/>
      <c r="F109" s="18"/>
      <c r="G109" s="18"/>
      <c r="H109" s="18"/>
      <c r="I109" s="18"/>
      <c r="J109" s="18"/>
      <c r="K109" s="18"/>
      <c r="L109" s="18"/>
    </row>
    <row r="110" spans="1:12" x14ac:dyDescent="0.25">
      <c r="A110" s="18"/>
      <c r="B110" s="18"/>
      <c r="C110" s="17" t="str">
        <f>IF($B110="","",IFERROR(INDEX('Casos de Teste'!$D$5:$D$205,MATCH($B110,'Casos de Teste'!$A$5:$A$205,0)),"ID não encontrado"))</f>
        <v/>
      </c>
      <c r="D110" s="18"/>
      <c r="E110" s="20"/>
      <c r="F110" s="18"/>
      <c r="G110" s="18"/>
      <c r="H110" s="18"/>
      <c r="I110" s="18"/>
      <c r="J110" s="18"/>
      <c r="K110" s="18"/>
      <c r="L110" s="18"/>
    </row>
    <row r="111" spans="1:12" x14ac:dyDescent="0.25">
      <c r="A111" s="18"/>
      <c r="B111" s="18"/>
      <c r="C111" s="17" t="str">
        <f>IF($B111="","",IFERROR(INDEX('Casos de Teste'!$D$5:$D$205,MATCH($B111,'Casos de Teste'!$A$5:$A$205,0)),"ID não encontrado"))</f>
        <v/>
      </c>
      <c r="D111" s="18"/>
      <c r="E111" s="20"/>
      <c r="F111" s="18"/>
      <c r="G111" s="18"/>
      <c r="H111" s="18"/>
      <c r="I111" s="18"/>
      <c r="J111" s="18"/>
      <c r="K111" s="18"/>
      <c r="L111" s="18"/>
    </row>
    <row r="112" spans="1:12" x14ac:dyDescent="0.25">
      <c r="A112" s="18"/>
      <c r="B112" s="18"/>
      <c r="C112" s="17" t="str">
        <f>IF($B112="","",IFERROR(INDEX('Casos de Teste'!$D$5:$D$205,MATCH($B112,'Casos de Teste'!$A$5:$A$205,0)),"ID não encontrado"))</f>
        <v/>
      </c>
      <c r="D112" s="18"/>
      <c r="E112" s="20"/>
      <c r="F112" s="18"/>
      <c r="G112" s="18"/>
      <c r="H112" s="18"/>
      <c r="I112" s="18"/>
      <c r="J112" s="18"/>
      <c r="K112" s="18"/>
      <c r="L112" s="18"/>
    </row>
    <row r="113" spans="1:12" x14ac:dyDescent="0.25">
      <c r="A113" s="18"/>
      <c r="B113" s="18"/>
      <c r="C113" s="17" t="str">
        <f>IF($B113="","",IFERROR(INDEX('Casos de Teste'!$D$5:$D$205,MATCH($B113,'Casos de Teste'!$A$5:$A$205,0)),"ID não encontrado"))</f>
        <v/>
      </c>
      <c r="D113" s="18"/>
      <c r="E113" s="20"/>
      <c r="F113" s="18"/>
      <c r="G113" s="18"/>
      <c r="H113" s="18"/>
      <c r="I113" s="18"/>
      <c r="J113" s="18"/>
      <c r="K113" s="18"/>
      <c r="L113" s="18"/>
    </row>
    <row r="114" spans="1:12" x14ac:dyDescent="0.25">
      <c r="A114" s="18"/>
      <c r="B114" s="18"/>
      <c r="C114" s="17" t="str">
        <f>IF($B114="","",IFERROR(INDEX('Casos de Teste'!$D$5:$D$205,MATCH($B114,'Casos de Teste'!$A$5:$A$205,0)),"ID não encontrado"))</f>
        <v/>
      </c>
      <c r="D114" s="18"/>
      <c r="E114" s="20"/>
      <c r="F114" s="18"/>
      <c r="G114" s="18"/>
      <c r="H114" s="18"/>
      <c r="I114" s="18"/>
      <c r="J114" s="18"/>
      <c r="K114" s="18"/>
      <c r="L114" s="18"/>
    </row>
    <row r="115" spans="1:12" x14ac:dyDescent="0.25">
      <c r="A115" s="18"/>
      <c r="B115" s="18"/>
      <c r="C115" s="17" t="str">
        <f>IF($B115="","",IFERROR(INDEX('Casos de Teste'!$D$5:$D$205,MATCH($B115,'Casos de Teste'!$A$5:$A$205,0)),"ID não encontrado"))</f>
        <v/>
      </c>
      <c r="D115" s="18"/>
      <c r="E115" s="20"/>
      <c r="F115" s="18"/>
      <c r="G115" s="18"/>
      <c r="H115" s="18"/>
      <c r="I115" s="18"/>
      <c r="J115" s="18"/>
      <c r="K115" s="18"/>
      <c r="L115" s="18"/>
    </row>
    <row r="116" spans="1:12" x14ac:dyDescent="0.25">
      <c r="A116" s="18"/>
      <c r="B116" s="18"/>
      <c r="C116" s="17" t="str">
        <f>IF($B116="","",IFERROR(INDEX('Casos de Teste'!$D$5:$D$205,MATCH($B116,'Casos de Teste'!$A$5:$A$205,0)),"ID não encontrado"))</f>
        <v/>
      </c>
      <c r="D116" s="18"/>
      <c r="E116" s="20"/>
      <c r="F116" s="18"/>
      <c r="G116" s="18"/>
      <c r="H116" s="18"/>
      <c r="I116" s="18"/>
      <c r="J116" s="18"/>
      <c r="K116" s="18"/>
      <c r="L116" s="18"/>
    </row>
    <row r="117" spans="1:12" x14ac:dyDescent="0.25">
      <c r="A117" s="18"/>
      <c r="B117" s="18"/>
      <c r="C117" s="17" t="str">
        <f>IF($B117="","",IFERROR(INDEX('Casos de Teste'!$D$5:$D$205,MATCH($B117,'Casos de Teste'!$A$5:$A$205,0)),"ID não encontrado"))</f>
        <v/>
      </c>
      <c r="D117" s="18"/>
      <c r="E117" s="20"/>
      <c r="F117" s="18"/>
      <c r="G117" s="18"/>
      <c r="H117" s="18"/>
      <c r="I117" s="18"/>
      <c r="J117" s="18"/>
      <c r="K117" s="18"/>
      <c r="L117" s="18"/>
    </row>
    <row r="118" spans="1:12" x14ac:dyDescent="0.25">
      <c r="A118" s="18"/>
      <c r="B118" s="18"/>
      <c r="C118" s="17" t="str">
        <f>IF($B118="","",IFERROR(INDEX('Casos de Teste'!$D$5:$D$205,MATCH($B118,'Casos de Teste'!$A$5:$A$205,0)),"ID não encontrado"))</f>
        <v/>
      </c>
      <c r="D118" s="18"/>
      <c r="E118" s="20"/>
      <c r="F118" s="18"/>
      <c r="G118" s="18"/>
      <c r="H118" s="18"/>
      <c r="I118" s="18"/>
      <c r="J118" s="18"/>
      <c r="K118" s="18"/>
      <c r="L118" s="18"/>
    </row>
    <row r="119" spans="1:12" x14ac:dyDescent="0.25">
      <c r="A119" s="18"/>
      <c r="B119" s="18"/>
      <c r="C119" s="17" t="str">
        <f>IF($B119="","",IFERROR(INDEX('Casos de Teste'!$D$5:$D$205,MATCH($B119,'Casos de Teste'!$A$5:$A$205,0)),"ID não encontrado"))</f>
        <v/>
      </c>
      <c r="D119" s="18"/>
      <c r="E119" s="20"/>
      <c r="F119" s="18"/>
      <c r="G119" s="18"/>
      <c r="H119" s="18"/>
      <c r="I119" s="18"/>
      <c r="J119" s="18"/>
      <c r="K119" s="18"/>
      <c r="L119" s="18"/>
    </row>
    <row r="120" spans="1:12" x14ac:dyDescent="0.25">
      <c r="A120" s="18"/>
      <c r="B120" s="18"/>
      <c r="C120" s="17" t="str">
        <f>IF($B120="","",IFERROR(INDEX('Casos de Teste'!$D$5:$D$205,MATCH($B120,'Casos de Teste'!$A$5:$A$205,0)),"ID não encontrado"))</f>
        <v/>
      </c>
      <c r="D120" s="18"/>
      <c r="E120" s="20"/>
      <c r="F120" s="18"/>
      <c r="G120" s="18"/>
      <c r="H120" s="18"/>
      <c r="I120" s="18"/>
      <c r="J120" s="18"/>
      <c r="K120" s="18"/>
      <c r="L120" s="18"/>
    </row>
    <row r="121" spans="1:12" x14ac:dyDescent="0.25">
      <c r="A121" s="18"/>
      <c r="B121" s="18"/>
      <c r="C121" s="17" t="str">
        <f>IF($B121="","",IFERROR(INDEX('Casos de Teste'!$D$5:$D$205,MATCH($B121,'Casos de Teste'!$A$5:$A$205,0)),"ID não encontrado"))</f>
        <v/>
      </c>
      <c r="D121" s="18"/>
      <c r="E121" s="20"/>
      <c r="F121" s="18"/>
      <c r="G121" s="18"/>
      <c r="H121" s="18"/>
      <c r="I121" s="18"/>
      <c r="J121" s="18"/>
      <c r="K121" s="18"/>
      <c r="L121" s="18"/>
    </row>
    <row r="122" spans="1:12" x14ac:dyDescent="0.25">
      <c r="A122" s="18"/>
      <c r="B122" s="18"/>
      <c r="C122" s="17" t="str">
        <f>IF($B122="","",IFERROR(INDEX('Casos de Teste'!$D$5:$D$205,MATCH($B122,'Casos de Teste'!$A$5:$A$205,0)),"ID não encontrado"))</f>
        <v/>
      </c>
      <c r="D122" s="18"/>
      <c r="E122" s="20"/>
      <c r="F122" s="18"/>
      <c r="G122" s="18"/>
      <c r="H122" s="18"/>
      <c r="I122" s="18"/>
      <c r="J122" s="18"/>
      <c r="K122" s="18"/>
      <c r="L122" s="18"/>
    </row>
    <row r="123" spans="1:12" x14ac:dyDescent="0.25">
      <c r="A123" s="18"/>
      <c r="B123" s="18"/>
      <c r="C123" s="17" t="str">
        <f>IF($B123="","",IFERROR(INDEX('Casos de Teste'!$D$5:$D$205,MATCH($B123,'Casos de Teste'!$A$5:$A$205,0)),"ID não encontrado"))</f>
        <v/>
      </c>
      <c r="D123" s="18"/>
      <c r="E123" s="20"/>
      <c r="F123" s="18"/>
      <c r="G123" s="18"/>
      <c r="H123" s="18"/>
      <c r="I123" s="18"/>
      <c r="J123" s="18"/>
      <c r="K123" s="18"/>
      <c r="L123" s="18"/>
    </row>
    <row r="124" spans="1:12" x14ac:dyDescent="0.25">
      <c r="A124" s="18"/>
      <c r="B124" s="18"/>
      <c r="C124" s="17" t="str">
        <f>IF($B124="","",IFERROR(INDEX('Casos de Teste'!$D$5:$D$205,MATCH($B124,'Casos de Teste'!$A$5:$A$205,0)),"ID não encontrado"))</f>
        <v/>
      </c>
      <c r="D124" s="18"/>
      <c r="E124" s="20"/>
      <c r="F124" s="18"/>
      <c r="G124" s="18"/>
      <c r="H124" s="18"/>
      <c r="I124" s="18"/>
      <c r="J124" s="18"/>
      <c r="K124" s="18"/>
      <c r="L124" s="18"/>
    </row>
    <row r="125" spans="1:12" x14ac:dyDescent="0.25">
      <c r="A125" s="18"/>
      <c r="B125" s="18"/>
      <c r="C125" s="17" t="str">
        <f>IF($B125="","",IFERROR(INDEX('Casos de Teste'!$D$5:$D$205,MATCH($B125,'Casos de Teste'!$A$5:$A$205,0)),"ID não encontrado"))</f>
        <v/>
      </c>
      <c r="D125" s="18"/>
      <c r="E125" s="20"/>
      <c r="F125" s="18"/>
      <c r="G125" s="18"/>
      <c r="H125" s="18"/>
      <c r="I125" s="18"/>
      <c r="J125" s="18"/>
      <c r="K125" s="18"/>
      <c r="L125" s="18"/>
    </row>
    <row r="126" spans="1:12" x14ac:dyDescent="0.25">
      <c r="A126" s="18"/>
      <c r="B126" s="18"/>
      <c r="C126" s="17" t="str">
        <f>IF($B126="","",IFERROR(INDEX('Casos de Teste'!$D$5:$D$205,MATCH($B126,'Casos de Teste'!$A$5:$A$205,0)),"ID não encontrado"))</f>
        <v/>
      </c>
      <c r="D126" s="18"/>
      <c r="E126" s="20"/>
      <c r="F126" s="18"/>
      <c r="G126" s="18"/>
      <c r="H126" s="18"/>
      <c r="I126" s="18"/>
      <c r="J126" s="18"/>
      <c r="K126" s="18"/>
      <c r="L126" s="18"/>
    </row>
    <row r="127" spans="1:12" x14ac:dyDescent="0.25">
      <c r="A127" s="18"/>
      <c r="B127" s="18"/>
      <c r="C127" s="17" t="str">
        <f>IF($B127="","",IFERROR(INDEX('Casos de Teste'!$D$5:$D$205,MATCH($B127,'Casos de Teste'!$A$5:$A$205,0)),"ID não encontrado"))</f>
        <v/>
      </c>
      <c r="D127" s="18"/>
      <c r="E127" s="20"/>
      <c r="F127" s="18"/>
      <c r="G127" s="18"/>
      <c r="H127" s="18"/>
      <c r="I127" s="18"/>
      <c r="J127" s="18"/>
      <c r="K127" s="18"/>
      <c r="L127" s="18"/>
    </row>
    <row r="128" spans="1:12" x14ac:dyDescent="0.25">
      <c r="A128" s="18"/>
      <c r="B128" s="18"/>
      <c r="C128" s="17" t="str">
        <f>IF($B128="","",IFERROR(INDEX('Casos de Teste'!$D$5:$D$205,MATCH($B128,'Casos de Teste'!$A$5:$A$205,0)),"ID não encontrado"))</f>
        <v/>
      </c>
      <c r="D128" s="18"/>
      <c r="E128" s="20"/>
      <c r="F128" s="18"/>
      <c r="G128" s="18"/>
      <c r="H128" s="18"/>
      <c r="I128" s="18"/>
      <c r="J128" s="18"/>
      <c r="K128" s="18"/>
      <c r="L128" s="18"/>
    </row>
    <row r="129" spans="1:12" x14ac:dyDescent="0.25">
      <c r="A129" s="18"/>
      <c r="B129" s="18"/>
      <c r="C129" s="17" t="str">
        <f>IF($B129="","",IFERROR(INDEX('Casos de Teste'!$D$5:$D$205,MATCH($B129,'Casos de Teste'!$A$5:$A$205,0)),"ID não encontrado"))</f>
        <v/>
      </c>
      <c r="D129" s="18"/>
      <c r="E129" s="20"/>
      <c r="F129" s="18"/>
      <c r="G129" s="18"/>
      <c r="H129" s="18"/>
      <c r="I129" s="18"/>
      <c r="J129" s="18"/>
      <c r="K129" s="18"/>
      <c r="L129" s="18"/>
    </row>
    <row r="130" spans="1:12" x14ac:dyDescent="0.25">
      <c r="A130" s="18"/>
      <c r="B130" s="18"/>
      <c r="C130" s="17" t="str">
        <f>IF($B130="","",IFERROR(INDEX('Casos de Teste'!$D$5:$D$205,MATCH($B130,'Casos de Teste'!$A$5:$A$205,0)),"ID não encontrado"))</f>
        <v/>
      </c>
      <c r="D130" s="18"/>
      <c r="E130" s="20"/>
      <c r="F130" s="18"/>
      <c r="G130" s="18"/>
      <c r="H130" s="18"/>
      <c r="I130" s="18"/>
      <c r="J130" s="18"/>
      <c r="K130" s="18"/>
      <c r="L130" s="18"/>
    </row>
    <row r="131" spans="1:12" x14ac:dyDescent="0.25">
      <c r="A131" s="18"/>
      <c r="B131" s="18"/>
      <c r="C131" s="17" t="str">
        <f>IF($B131="","",IFERROR(INDEX('Casos de Teste'!$D$5:$D$205,MATCH($B131,'Casos de Teste'!$A$5:$A$205,0)),"ID não encontrado"))</f>
        <v/>
      </c>
      <c r="D131" s="18"/>
      <c r="E131" s="20"/>
      <c r="F131" s="18"/>
      <c r="G131" s="18"/>
      <c r="H131" s="18"/>
      <c r="I131" s="18"/>
      <c r="J131" s="18"/>
      <c r="K131" s="18"/>
      <c r="L131" s="18"/>
    </row>
    <row r="132" spans="1:12" x14ac:dyDescent="0.25">
      <c r="A132" s="18"/>
      <c r="B132" s="18"/>
      <c r="C132" s="17" t="str">
        <f>IF($B132="","",IFERROR(INDEX('Casos de Teste'!$D$5:$D$205,MATCH($B132,'Casos de Teste'!$A$5:$A$205,0)),"ID não encontrado"))</f>
        <v/>
      </c>
      <c r="D132" s="18"/>
      <c r="E132" s="20"/>
      <c r="F132" s="18"/>
      <c r="G132" s="18"/>
      <c r="H132" s="18"/>
      <c r="I132" s="18"/>
      <c r="J132" s="18"/>
      <c r="K132" s="18"/>
      <c r="L132" s="18"/>
    </row>
    <row r="133" spans="1:12" x14ac:dyDescent="0.25">
      <c r="A133" s="18"/>
      <c r="B133" s="18"/>
      <c r="C133" s="17" t="str">
        <f>IF($B133="","",IFERROR(INDEX('Casos de Teste'!$D$5:$D$205,MATCH($B133,'Casos de Teste'!$A$5:$A$205,0)),"ID não encontrado"))</f>
        <v/>
      </c>
      <c r="D133" s="18"/>
      <c r="E133" s="20"/>
      <c r="F133" s="18"/>
      <c r="G133" s="18"/>
      <c r="H133" s="18"/>
      <c r="I133" s="18"/>
      <c r="J133" s="18"/>
      <c r="K133" s="18"/>
      <c r="L133" s="18"/>
    </row>
    <row r="134" spans="1:12" x14ac:dyDescent="0.25">
      <c r="A134" s="18"/>
      <c r="B134" s="18"/>
      <c r="C134" s="17" t="str">
        <f>IF($B134="","",IFERROR(INDEX('Casos de Teste'!$D$5:$D$205,MATCH($B134,'Casos de Teste'!$A$5:$A$205,0)),"ID não encontrado"))</f>
        <v/>
      </c>
      <c r="D134" s="18"/>
      <c r="E134" s="20"/>
      <c r="F134" s="18"/>
      <c r="G134" s="18"/>
      <c r="H134" s="18"/>
      <c r="I134" s="18"/>
      <c r="J134" s="18"/>
      <c r="K134" s="18"/>
      <c r="L134" s="18"/>
    </row>
    <row r="135" spans="1:12" x14ac:dyDescent="0.25">
      <c r="A135" s="18"/>
      <c r="B135" s="18"/>
      <c r="C135" s="17" t="str">
        <f>IF($B135="","",IFERROR(INDEX('Casos de Teste'!$D$5:$D$205,MATCH($B135,'Casos de Teste'!$A$5:$A$205,0)),"ID não encontrado"))</f>
        <v/>
      </c>
      <c r="D135" s="18"/>
      <c r="E135" s="20"/>
      <c r="F135" s="18"/>
      <c r="G135" s="18"/>
      <c r="H135" s="18"/>
      <c r="I135" s="18"/>
      <c r="J135" s="18"/>
      <c r="K135" s="18"/>
      <c r="L135" s="18"/>
    </row>
    <row r="136" spans="1:12" x14ac:dyDescent="0.25">
      <c r="A136" s="18"/>
      <c r="B136" s="18"/>
      <c r="C136" s="17" t="str">
        <f>IF($B136="","",IFERROR(INDEX('Casos de Teste'!$D$5:$D$205,MATCH($B136,'Casos de Teste'!$A$5:$A$205,0)),"ID não encontrado"))</f>
        <v/>
      </c>
      <c r="D136" s="18"/>
      <c r="E136" s="20"/>
      <c r="F136" s="18"/>
      <c r="G136" s="18"/>
      <c r="H136" s="18"/>
      <c r="I136" s="18"/>
      <c r="J136" s="18"/>
      <c r="K136" s="18"/>
      <c r="L136" s="18"/>
    </row>
    <row r="137" spans="1:12" x14ac:dyDescent="0.25">
      <c r="A137" s="18"/>
      <c r="B137" s="18"/>
      <c r="C137" s="17" t="str">
        <f>IF($B137="","",IFERROR(INDEX('Casos de Teste'!$D$5:$D$205,MATCH($B137,'Casos de Teste'!$A$5:$A$205,0)),"ID não encontrado"))</f>
        <v/>
      </c>
      <c r="D137" s="18"/>
      <c r="E137" s="20"/>
      <c r="F137" s="18"/>
      <c r="G137" s="18"/>
      <c r="H137" s="18"/>
      <c r="I137" s="18"/>
      <c r="J137" s="18"/>
      <c r="K137" s="18"/>
      <c r="L137" s="18"/>
    </row>
    <row r="138" spans="1:12" x14ac:dyDescent="0.25">
      <c r="A138" s="18"/>
      <c r="B138" s="18"/>
      <c r="C138" s="17" t="str">
        <f>IF($B138="","",IFERROR(INDEX('Casos de Teste'!$D$5:$D$205,MATCH($B138,'Casos de Teste'!$A$5:$A$205,0)),"ID não encontrado"))</f>
        <v/>
      </c>
      <c r="D138" s="18"/>
      <c r="E138" s="20"/>
      <c r="F138" s="18"/>
      <c r="G138" s="18"/>
      <c r="H138" s="18"/>
      <c r="I138" s="18"/>
      <c r="J138" s="18"/>
      <c r="K138" s="18"/>
      <c r="L138" s="18"/>
    </row>
    <row r="139" spans="1:12" x14ac:dyDescent="0.25">
      <c r="A139" s="18"/>
      <c r="B139" s="18"/>
      <c r="C139" s="17" t="str">
        <f>IF($B139="","",IFERROR(INDEX('Casos de Teste'!$D$5:$D$205,MATCH($B139,'Casos de Teste'!$A$5:$A$205,0)),"ID não encontrado"))</f>
        <v/>
      </c>
      <c r="D139" s="18"/>
      <c r="E139" s="20"/>
      <c r="F139" s="18"/>
      <c r="G139" s="18"/>
      <c r="H139" s="18"/>
      <c r="I139" s="18"/>
      <c r="J139" s="18"/>
      <c r="K139" s="18"/>
      <c r="L139" s="18"/>
    </row>
    <row r="140" spans="1:12" x14ac:dyDescent="0.25">
      <c r="A140" s="18"/>
      <c r="B140" s="18"/>
      <c r="C140" s="17" t="str">
        <f>IF($B140="","",IFERROR(INDEX('Casos de Teste'!$D$5:$D$205,MATCH($B140,'Casos de Teste'!$A$5:$A$205,0)),"ID não encontrado"))</f>
        <v/>
      </c>
      <c r="D140" s="18"/>
      <c r="E140" s="20"/>
      <c r="F140" s="18"/>
      <c r="G140" s="18"/>
      <c r="H140" s="18"/>
      <c r="I140" s="18"/>
      <c r="J140" s="18"/>
      <c r="K140" s="18"/>
      <c r="L140" s="18"/>
    </row>
    <row r="141" spans="1:12" x14ac:dyDescent="0.25">
      <c r="A141" s="18"/>
      <c r="B141" s="18"/>
      <c r="C141" s="17" t="str">
        <f>IF($B141="","",IFERROR(INDEX('Casos de Teste'!$D$5:$D$205,MATCH($B141,'Casos de Teste'!$A$5:$A$205,0)),"ID não encontrado"))</f>
        <v/>
      </c>
      <c r="D141" s="18"/>
      <c r="E141" s="20"/>
      <c r="F141" s="18"/>
      <c r="G141" s="18"/>
      <c r="H141" s="18"/>
      <c r="I141" s="18"/>
      <c r="J141" s="18"/>
      <c r="K141" s="18"/>
      <c r="L141" s="18"/>
    </row>
    <row r="142" spans="1:12" x14ac:dyDescent="0.25">
      <c r="A142" s="18"/>
      <c r="B142" s="18"/>
      <c r="C142" s="17" t="str">
        <f>IF($B142="","",IFERROR(INDEX('Casos de Teste'!$D$5:$D$205,MATCH($B142,'Casos de Teste'!$A$5:$A$205,0)),"ID não encontrado"))</f>
        <v/>
      </c>
      <c r="D142" s="18"/>
      <c r="E142" s="20"/>
      <c r="F142" s="18"/>
      <c r="G142" s="18"/>
      <c r="H142" s="18"/>
      <c r="I142" s="18"/>
      <c r="J142" s="18"/>
      <c r="K142" s="18"/>
      <c r="L142" s="18"/>
    </row>
    <row r="143" spans="1:12" x14ac:dyDescent="0.25">
      <c r="A143" s="18"/>
      <c r="B143" s="18"/>
      <c r="C143" s="17" t="str">
        <f>IF($B143="","",IFERROR(INDEX('Casos de Teste'!$D$5:$D$205,MATCH($B143,'Casos de Teste'!$A$5:$A$205,0)),"ID não encontrado"))</f>
        <v/>
      </c>
      <c r="D143" s="18"/>
      <c r="E143" s="20"/>
      <c r="F143" s="18"/>
      <c r="G143" s="18"/>
      <c r="H143" s="18"/>
      <c r="I143" s="18"/>
      <c r="J143" s="18"/>
      <c r="K143" s="18"/>
      <c r="L143" s="18"/>
    </row>
    <row r="144" spans="1:12" x14ac:dyDescent="0.25">
      <c r="A144" s="18"/>
      <c r="B144" s="18"/>
      <c r="C144" s="17" t="str">
        <f>IF($B144="","",IFERROR(INDEX('Casos de Teste'!$D$5:$D$205,MATCH($B144,'Casos de Teste'!$A$5:$A$205,0)),"ID não encontrado"))</f>
        <v/>
      </c>
      <c r="D144" s="18"/>
      <c r="E144" s="20"/>
      <c r="F144" s="18"/>
      <c r="G144" s="18"/>
      <c r="H144" s="18"/>
      <c r="I144" s="18"/>
      <c r="J144" s="18"/>
      <c r="K144" s="18"/>
      <c r="L144" s="18"/>
    </row>
    <row r="145" spans="1:12" x14ac:dyDescent="0.25">
      <c r="A145" s="18"/>
      <c r="B145" s="18"/>
      <c r="C145" s="17" t="str">
        <f>IF($B145="","",IFERROR(INDEX('Casos de Teste'!$D$5:$D$205,MATCH($B145,'Casos de Teste'!$A$5:$A$205,0)),"ID não encontrado"))</f>
        <v/>
      </c>
      <c r="D145" s="18"/>
      <c r="E145" s="20"/>
      <c r="F145" s="18"/>
      <c r="G145" s="18"/>
      <c r="H145" s="18"/>
      <c r="I145" s="18"/>
      <c r="J145" s="18"/>
      <c r="K145" s="18"/>
      <c r="L145" s="18"/>
    </row>
    <row r="146" spans="1:12" x14ac:dyDescent="0.25">
      <c r="A146" s="18"/>
      <c r="B146" s="18"/>
      <c r="C146" s="17" t="str">
        <f>IF($B146="","",IFERROR(INDEX('Casos de Teste'!$D$5:$D$205,MATCH($B146,'Casos de Teste'!$A$5:$A$205,0)),"ID não encontrado"))</f>
        <v/>
      </c>
      <c r="D146" s="18"/>
      <c r="E146" s="20"/>
      <c r="F146" s="18"/>
      <c r="G146" s="18"/>
      <c r="H146" s="18"/>
      <c r="I146" s="18"/>
      <c r="J146" s="18"/>
      <c r="K146" s="18"/>
      <c r="L146" s="18"/>
    </row>
    <row r="147" spans="1:12" x14ac:dyDescent="0.25">
      <c r="A147" s="18"/>
      <c r="B147" s="18"/>
      <c r="C147" s="17" t="str">
        <f>IF($B147="","",IFERROR(INDEX('Casos de Teste'!$D$5:$D$205,MATCH($B147,'Casos de Teste'!$A$5:$A$205,0)),"ID não encontrado"))</f>
        <v/>
      </c>
      <c r="D147" s="18"/>
      <c r="E147" s="20"/>
      <c r="F147" s="18"/>
      <c r="G147" s="18"/>
      <c r="H147" s="18"/>
      <c r="I147" s="18"/>
      <c r="J147" s="18"/>
      <c r="K147" s="18"/>
      <c r="L147" s="18"/>
    </row>
    <row r="148" spans="1:12" x14ac:dyDescent="0.25">
      <c r="A148" s="18"/>
      <c r="B148" s="18"/>
      <c r="C148" s="17" t="str">
        <f>IF($B148="","",IFERROR(INDEX('Casos de Teste'!$D$5:$D$205,MATCH($B148,'Casos de Teste'!$A$5:$A$205,0)),"ID não encontrado"))</f>
        <v/>
      </c>
      <c r="D148" s="18"/>
      <c r="E148" s="20"/>
      <c r="F148" s="18"/>
      <c r="G148" s="18"/>
      <c r="H148" s="18"/>
      <c r="I148" s="18"/>
      <c r="J148" s="18"/>
      <c r="K148" s="18"/>
      <c r="L148" s="18"/>
    </row>
    <row r="149" spans="1:12" x14ac:dyDescent="0.25">
      <c r="A149" s="18"/>
      <c r="B149" s="18"/>
      <c r="C149" s="17" t="str">
        <f>IF($B149="","",IFERROR(INDEX('Casos de Teste'!$D$5:$D$205,MATCH($B149,'Casos de Teste'!$A$5:$A$205,0)),"ID não encontrado"))</f>
        <v/>
      </c>
      <c r="D149" s="18"/>
      <c r="E149" s="20"/>
      <c r="F149" s="18"/>
      <c r="G149" s="18"/>
      <c r="H149" s="18"/>
      <c r="I149" s="18"/>
      <c r="J149" s="18"/>
      <c r="K149" s="18"/>
      <c r="L149" s="18"/>
    </row>
    <row r="150" spans="1:12" x14ac:dyDescent="0.25">
      <c r="A150" s="18"/>
      <c r="B150" s="18"/>
      <c r="C150" s="17" t="str">
        <f>IF($B150="","",IFERROR(INDEX('Casos de Teste'!$D$5:$D$205,MATCH($B150,'Casos de Teste'!$A$5:$A$205,0)),"ID não encontrado"))</f>
        <v/>
      </c>
      <c r="D150" s="18"/>
      <c r="E150" s="20"/>
      <c r="F150" s="18"/>
      <c r="G150" s="18"/>
      <c r="H150" s="18"/>
      <c r="I150" s="18"/>
      <c r="J150" s="18"/>
      <c r="K150" s="18"/>
      <c r="L150" s="18"/>
    </row>
    <row r="151" spans="1:12" x14ac:dyDescent="0.25">
      <c r="A151" s="18"/>
      <c r="B151" s="18"/>
      <c r="C151" s="17" t="str">
        <f>IF($B151="","",IFERROR(INDEX('Casos de Teste'!$D$5:$D$205,MATCH($B151,'Casos de Teste'!$A$5:$A$205,0)),"ID não encontrado"))</f>
        <v/>
      </c>
      <c r="D151" s="18"/>
      <c r="E151" s="20"/>
      <c r="F151" s="18"/>
      <c r="G151" s="18"/>
      <c r="H151" s="18"/>
      <c r="I151" s="18"/>
      <c r="J151" s="18"/>
      <c r="K151" s="18"/>
      <c r="L151" s="18"/>
    </row>
    <row r="152" spans="1:12" x14ac:dyDescent="0.25">
      <c r="A152" s="18"/>
      <c r="B152" s="18"/>
      <c r="C152" s="17" t="str">
        <f>IF($B152="","",IFERROR(INDEX('Casos de Teste'!$D$5:$D$205,MATCH($B152,'Casos de Teste'!$A$5:$A$205,0)),"ID não encontrado"))</f>
        <v/>
      </c>
      <c r="D152" s="18"/>
      <c r="E152" s="20"/>
      <c r="F152" s="18"/>
      <c r="G152" s="18"/>
      <c r="H152" s="18"/>
      <c r="I152" s="18"/>
      <c r="J152" s="18"/>
      <c r="K152" s="18"/>
      <c r="L152" s="18"/>
    </row>
    <row r="153" spans="1:12" x14ac:dyDescent="0.25">
      <c r="A153" s="18"/>
      <c r="B153" s="18"/>
      <c r="C153" s="17" t="str">
        <f>IF($B153="","",IFERROR(INDEX('Casos de Teste'!$D$5:$D$205,MATCH($B153,'Casos de Teste'!$A$5:$A$205,0)),"ID não encontrado"))</f>
        <v/>
      </c>
      <c r="D153" s="18"/>
      <c r="E153" s="20"/>
      <c r="F153" s="18"/>
      <c r="G153" s="18"/>
      <c r="H153" s="18"/>
      <c r="I153" s="18"/>
      <c r="J153" s="18"/>
      <c r="K153" s="18"/>
      <c r="L153" s="18"/>
    </row>
    <row r="154" spans="1:12" x14ac:dyDescent="0.25">
      <c r="A154" s="18"/>
      <c r="B154" s="18"/>
      <c r="C154" s="17" t="str">
        <f>IF($B154="","",IFERROR(INDEX('Casos de Teste'!$D$5:$D$205,MATCH($B154,'Casos de Teste'!$A$5:$A$205,0)),"ID não encontrado"))</f>
        <v/>
      </c>
      <c r="D154" s="18"/>
      <c r="E154" s="20"/>
      <c r="F154" s="18"/>
      <c r="G154" s="18"/>
      <c r="H154" s="18"/>
      <c r="I154" s="18"/>
      <c r="J154" s="18"/>
      <c r="K154" s="18"/>
      <c r="L154" s="18"/>
    </row>
    <row r="155" spans="1:12" x14ac:dyDescent="0.25">
      <c r="A155" s="18"/>
      <c r="B155" s="18"/>
      <c r="C155" s="17" t="str">
        <f>IF($B155="","",IFERROR(INDEX('Casos de Teste'!$D$5:$D$205,MATCH($B155,'Casos de Teste'!$A$5:$A$205,0)),"ID não encontrado"))</f>
        <v/>
      </c>
      <c r="D155" s="18"/>
      <c r="E155" s="20"/>
      <c r="F155" s="18"/>
      <c r="G155" s="18"/>
      <c r="H155" s="18"/>
      <c r="I155" s="18"/>
      <c r="J155" s="18"/>
      <c r="K155" s="18"/>
      <c r="L155" s="18"/>
    </row>
    <row r="156" spans="1:12" x14ac:dyDescent="0.25">
      <c r="A156" s="18"/>
      <c r="B156" s="18"/>
      <c r="C156" s="17" t="str">
        <f>IF($B156="","",IFERROR(INDEX('Casos de Teste'!$D$5:$D$205,MATCH($B156,'Casos de Teste'!$A$5:$A$205,0)),"ID não encontrado"))</f>
        <v/>
      </c>
      <c r="D156" s="18"/>
      <c r="E156" s="20"/>
      <c r="F156" s="18"/>
      <c r="G156" s="18"/>
      <c r="H156" s="18"/>
      <c r="I156" s="18"/>
      <c r="J156" s="18"/>
      <c r="K156" s="18"/>
      <c r="L156" s="18"/>
    </row>
    <row r="157" spans="1:12" x14ac:dyDescent="0.25">
      <c r="A157" s="18"/>
      <c r="B157" s="18"/>
      <c r="C157" s="17" t="str">
        <f>IF($B157="","",IFERROR(INDEX('Casos de Teste'!$D$5:$D$205,MATCH($B157,'Casos de Teste'!$A$5:$A$205,0)),"ID não encontrado"))</f>
        <v/>
      </c>
      <c r="D157" s="18"/>
      <c r="E157" s="20"/>
      <c r="F157" s="18"/>
      <c r="G157" s="18"/>
      <c r="H157" s="18"/>
      <c r="I157" s="18"/>
      <c r="J157" s="18"/>
      <c r="K157" s="18"/>
      <c r="L157" s="18"/>
    </row>
    <row r="158" spans="1:12" x14ac:dyDescent="0.25">
      <c r="A158" s="18"/>
      <c r="B158" s="18"/>
      <c r="C158" s="17" t="str">
        <f>IF($B158="","",IFERROR(INDEX('Casos de Teste'!$D$5:$D$205,MATCH($B158,'Casos de Teste'!$A$5:$A$205,0)),"ID não encontrado"))</f>
        <v/>
      </c>
      <c r="D158" s="18"/>
      <c r="E158" s="20"/>
      <c r="F158" s="18"/>
      <c r="G158" s="18"/>
      <c r="H158" s="18"/>
      <c r="I158" s="18"/>
      <c r="J158" s="18"/>
      <c r="K158" s="18"/>
      <c r="L158" s="18"/>
    </row>
    <row r="159" spans="1:12" x14ac:dyDescent="0.25">
      <c r="A159" s="18"/>
      <c r="B159" s="18"/>
      <c r="C159" s="17" t="str">
        <f>IF($B159="","",IFERROR(INDEX('Casos de Teste'!$D$5:$D$205,MATCH($B159,'Casos de Teste'!$A$5:$A$205,0)),"ID não encontrado"))</f>
        <v/>
      </c>
      <c r="D159" s="18"/>
      <c r="E159" s="20"/>
      <c r="F159" s="18"/>
      <c r="G159" s="18"/>
      <c r="H159" s="18"/>
      <c r="I159" s="18"/>
      <c r="J159" s="18"/>
      <c r="K159" s="18"/>
      <c r="L159" s="18"/>
    </row>
    <row r="160" spans="1:12" x14ac:dyDescent="0.25">
      <c r="A160" s="18"/>
      <c r="B160" s="18"/>
      <c r="C160" s="17" t="str">
        <f>IF($B160="","",IFERROR(INDEX('Casos de Teste'!$D$5:$D$205,MATCH($B160,'Casos de Teste'!$A$5:$A$205,0)),"ID não encontrado"))</f>
        <v/>
      </c>
      <c r="D160" s="18"/>
      <c r="E160" s="20"/>
      <c r="F160" s="18"/>
      <c r="G160" s="18"/>
      <c r="H160" s="18"/>
      <c r="I160" s="18"/>
      <c r="J160" s="18"/>
      <c r="K160" s="18"/>
      <c r="L160" s="18"/>
    </row>
    <row r="161" spans="1:12" x14ac:dyDescent="0.25">
      <c r="A161" s="18"/>
      <c r="B161" s="18"/>
      <c r="C161" s="17" t="str">
        <f>IF($B161="","",IFERROR(INDEX('Casos de Teste'!$D$5:$D$205,MATCH($B161,'Casos de Teste'!$A$5:$A$205,0)),"ID não encontrado"))</f>
        <v/>
      </c>
      <c r="D161" s="18"/>
      <c r="E161" s="20"/>
      <c r="F161" s="18"/>
      <c r="G161" s="18"/>
      <c r="H161" s="18"/>
      <c r="I161" s="18"/>
      <c r="J161" s="18"/>
      <c r="K161" s="18"/>
      <c r="L161" s="18"/>
    </row>
    <row r="162" spans="1:12" x14ac:dyDescent="0.25">
      <c r="A162" s="18"/>
      <c r="B162" s="18"/>
      <c r="C162" s="17" t="str">
        <f>IF($B162="","",IFERROR(INDEX('Casos de Teste'!$D$5:$D$205,MATCH($B162,'Casos de Teste'!$A$5:$A$205,0)),"ID não encontrado"))</f>
        <v/>
      </c>
      <c r="D162" s="18"/>
      <c r="E162" s="20"/>
      <c r="F162" s="18"/>
      <c r="G162" s="18"/>
      <c r="H162" s="18"/>
      <c r="I162" s="18"/>
      <c r="J162" s="18"/>
      <c r="K162" s="18"/>
      <c r="L162" s="18"/>
    </row>
    <row r="163" spans="1:12" x14ac:dyDescent="0.25">
      <c r="A163" s="18"/>
      <c r="B163" s="18"/>
      <c r="C163" s="17" t="str">
        <f>IF($B163="","",IFERROR(INDEX('Casos de Teste'!$D$5:$D$205,MATCH($B163,'Casos de Teste'!$A$5:$A$205,0)),"ID não encontrado"))</f>
        <v/>
      </c>
      <c r="D163" s="18"/>
      <c r="E163" s="20"/>
      <c r="F163" s="18"/>
      <c r="G163" s="18"/>
      <c r="H163" s="18"/>
      <c r="I163" s="18"/>
      <c r="J163" s="18"/>
      <c r="K163" s="18"/>
      <c r="L163" s="18"/>
    </row>
    <row r="164" spans="1:12" x14ac:dyDescent="0.25">
      <c r="A164" s="18"/>
      <c r="B164" s="18"/>
      <c r="C164" s="17" t="str">
        <f>IF($B164="","",IFERROR(INDEX('Casos de Teste'!$D$5:$D$205,MATCH($B164,'Casos de Teste'!$A$5:$A$205,0)),"ID não encontrado"))</f>
        <v/>
      </c>
      <c r="D164" s="18"/>
      <c r="E164" s="20"/>
      <c r="F164" s="18"/>
      <c r="G164" s="18"/>
      <c r="H164" s="18"/>
      <c r="I164" s="18"/>
      <c r="J164" s="18"/>
      <c r="K164" s="18"/>
      <c r="L164" s="18"/>
    </row>
    <row r="165" spans="1:12" x14ac:dyDescent="0.25">
      <c r="A165" s="18"/>
      <c r="B165" s="18"/>
      <c r="C165" s="17" t="str">
        <f>IF($B165="","",IFERROR(INDEX('Casos de Teste'!$D$5:$D$205,MATCH($B165,'Casos de Teste'!$A$5:$A$205,0)),"ID não encontrado"))</f>
        <v/>
      </c>
      <c r="D165" s="18"/>
      <c r="E165" s="20"/>
      <c r="F165" s="18"/>
      <c r="G165" s="18"/>
      <c r="H165" s="18"/>
      <c r="I165" s="18"/>
      <c r="J165" s="18"/>
      <c r="K165" s="18"/>
      <c r="L165" s="18"/>
    </row>
    <row r="166" spans="1:12" x14ac:dyDescent="0.25">
      <c r="A166" s="18"/>
      <c r="B166" s="18"/>
      <c r="C166" s="17" t="str">
        <f>IF($B166="","",IFERROR(INDEX('Casos de Teste'!$D$5:$D$205,MATCH($B166,'Casos de Teste'!$A$5:$A$205,0)),"ID não encontrado"))</f>
        <v/>
      </c>
      <c r="D166" s="18"/>
      <c r="E166" s="20"/>
      <c r="F166" s="18"/>
      <c r="G166" s="18"/>
      <c r="H166" s="18"/>
      <c r="I166" s="18"/>
      <c r="J166" s="18"/>
      <c r="K166" s="18"/>
      <c r="L166" s="18"/>
    </row>
    <row r="167" spans="1:12" x14ac:dyDescent="0.25">
      <c r="A167" s="18"/>
      <c r="B167" s="18"/>
      <c r="C167" s="17" t="str">
        <f>IF($B167="","",IFERROR(INDEX('Casos de Teste'!$D$5:$D$205,MATCH($B167,'Casos de Teste'!$A$5:$A$205,0)),"ID não encontrado"))</f>
        <v/>
      </c>
      <c r="D167" s="18"/>
      <c r="E167" s="20"/>
      <c r="F167" s="18"/>
      <c r="G167" s="18"/>
      <c r="H167" s="18"/>
      <c r="I167" s="18"/>
      <c r="J167" s="18"/>
      <c r="K167" s="18"/>
      <c r="L167" s="18"/>
    </row>
    <row r="168" spans="1:12" x14ac:dyDescent="0.25">
      <c r="A168" s="18"/>
      <c r="B168" s="18"/>
      <c r="C168" s="17" t="str">
        <f>IF($B168="","",IFERROR(INDEX('Casos de Teste'!$D$5:$D$205,MATCH($B168,'Casos de Teste'!$A$5:$A$205,0)),"ID não encontrado"))</f>
        <v/>
      </c>
      <c r="D168" s="18"/>
      <c r="E168" s="20"/>
      <c r="F168" s="18"/>
      <c r="G168" s="18"/>
      <c r="H168" s="18"/>
      <c r="I168" s="18"/>
      <c r="J168" s="18"/>
      <c r="K168" s="18"/>
      <c r="L168" s="18"/>
    </row>
    <row r="169" spans="1:12" x14ac:dyDescent="0.25">
      <c r="A169" s="18"/>
      <c r="B169" s="18"/>
      <c r="C169" s="17" t="str">
        <f>IF($B169="","",IFERROR(INDEX('Casos de Teste'!$D$5:$D$205,MATCH($B169,'Casos de Teste'!$A$5:$A$205,0)),"ID não encontrado"))</f>
        <v/>
      </c>
      <c r="D169" s="18"/>
      <c r="E169" s="20"/>
      <c r="F169" s="18"/>
      <c r="G169" s="18"/>
      <c r="H169" s="18"/>
      <c r="I169" s="18"/>
      <c r="J169" s="18"/>
      <c r="K169" s="18"/>
      <c r="L169" s="18"/>
    </row>
    <row r="170" spans="1:12" x14ac:dyDescent="0.25">
      <c r="A170" s="18"/>
      <c r="B170" s="18"/>
      <c r="C170" s="17" t="str">
        <f>IF($B170="","",IFERROR(INDEX('Casos de Teste'!$D$5:$D$205,MATCH($B170,'Casos de Teste'!$A$5:$A$205,0)),"ID não encontrado"))</f>
        <v/>
      </c>
      <c r="D170" s="18"/>
      <c r="E170" s="20"/>
      <c r="F170" s="18"/>
      <c r="G170" s="18"/>
      <c r="H170" s="18"/>
      <c r="I170" s="18"/>
      <c r="J170" s="18"/>
      <c r="K170" s="18"/>
      <c r="L170" s="18"/>
    </row>
    <row r="171" spans="1:12" x14ac:dyDescent="0.25">
      <c r="A171" s="18"/>
      <c r="B171" s="18"/>
      <c r="C171" s="17" t="str">
        <f>IF($B171="","",IFERROR(INDEX('Casos de Teste'!$D$5:$D$205,MATCH($B171,'Casos de Teste'!$A$5:$A$205,0)),"ID não encontrado"))</f>
        <v/>
      </c>
      <c r="D171" s="18"/>
      <c r="E171" s="20"/>
      <c r="F171" s="18"/>
      <c r="G171" s="18"/>
      <c r="H171" s="18"/>
      <c r="I171" s="18"/>
      <c r="J171" s="18"/>
      <c r="K171" s="18"/>
      <c r="L171" s="18"/>
    </row>
    <row r="172" spans="1:12" x14ac:dyDescent="0.25">
      <c r="A172" s="18"/>
      <c r="B172" s="18"/>
      <c r="C172" s="17" t="str">
        <f>IF($B172="","",IFERROR(INDEX('Casos de Teste'!$D$5:$D$205,MATCH($B172,'Casos de Teste'!$A$5:$A$205,0)),"ID não encontrado"))</f>
        <v/>
      </c>
      <c r="D172" s="18"/>
      <c r="E172" s="20"/>
      <c r="F172" s="18"/>
      <c r="G172" s="18"/>
      <c r="H172" s="18"/>
      <c r="I172" s="18"/>
      <c r="J172" s="18"/>
      <c r="K172" s="18"/>
      <c r="L172" s="18"/>
    </row>
    <row r="173" spans="1:12" x14ac:dyDescent="0.25">
      <c r="A173" s="18"/>
      <c r="B173" s="18"/>
      <c r="C173" s="17" t="str">
        <f>IF($B173="","",IFERROR(INDEX('Casos de Teste'!$D$5:$D$205,MATCH($B173,'Casos de Teste'!$A$5:$A$205,0)),"ID não encontrado"))</f>
        <v/>
      </c>
      <c r="D173" s="18"/>
      <c r="E173" s="20"/>
      <c r="F173" s="18"/>
      <c r="G173" s="18"/>
      <c r="H173" s="18"/>
      <c r="I173" s="18"/>
      <c r="J173" s="18"/>
      <c r="K173" s="18"/>
      <c r="L173" s="18"/>
    </row>
    <row r="174" spans="1:12" x14ac:dyDescent="0.25">
      <c r="A174" s="18"/>
      <c r="B174" s="18"/>
      <c r="C174" s="17" t="str">
        <f>IF($B174="","",IFERROR(INDEX('Casos de Teste'!$D$5:$D$205,MATCH($B174,'Casos de Teste'!$A$5:$A$205,0)),"ID não encontrado"))</f>
        <v/>
      </c>
      <c r="D174" s="18"/>
      <c r="E174" s="20"/>
      <c r="F174" s="18"/>
      <c r="G174" s="18"/>
      <c r="H174" s="18"/>
      <c r="I174" s="18"/>
      <c r="J174" s="18"/>
      <c r="K174" s="18"/>
      <c r="L174" s="18"/>
    </row>
    <row r="175" spans="1:12" x14ac:dyDescent="0.25">
      <c r="A175" s="18"/>
      <c r="B175" s="18"/>
      <c r="C175" s="17" t="str">
        <f>IF($B175="","",IFERROR(INDEX('Casos de Teste'!$D$5:$D$205,MATCH($B175,'Casos de Teste'!$A$5:$A$205,0)),"ID não encontrado"))</f>
        <v/>
      </c>
      <c r="D175" s="18"/>
      <c r="E175" s="20"/>
      <c r="F175" s="18"/>
      <c r="G175" s="18"/>
      <c r="H175" s="18"/>
      <c r="I175" s="18"/>
      <c r="J175" s="18"/>
      <c r="K175" s="18"/>
      <c r="L175" s="18"/>
    </row>
    <row r="176" spans="1:12" x14ac:dyDescent="0.25">
      <c r="A176" s="18"/>
      <c r="B176" s="18"/>
      <c r="C176" s="17" t="str">
        <f>IF($B176="","",IFERROR(INDEX('Casos de Teste'!$D$5:$D$205,MATCH($B176,'Casos de Teste'!$A$5:$A$205,0)),"ID não encontrado"))</f>
        <v/>
      </c>
      <c r="D176" s="18"/>
      <c r="E176" s="20"/>
      <c r="F176" s="18"/>
      <c r="G176" s="18"/>
      <c r="H176" s="18"/>
      <c r="I176" s="18"/>
      <c r="J176" s="18"/>
      <c r="K176" s="18"/>
      <c r="L176" s="18"/>
    </row>
    <row r="177" spans="1:12" x14ac:dyDescent="0.25">
      <c r="A177" s="18"/>
      <c r="B177" s="18"/>
      <c r="C177" s="17" t="str">
        <f>IF($B177="","",IFERROR(INDEX('Casos de Teste'!$D$5:$D$205,MATCH($B177,'Casos de Teste'!$A$5:$A$205,0)),"ID não encontrado"))</f>
        <v/>
      </c>
      <c r="D177" s="18"/>
      <c r="E177" s="20"/>
      <c r="F177" s="18"/>
      <c r="G177" s="18"/>
      <c r="H177" s="18"/>
      <c r="I177" s="18"/>
      <c r="J177" s="18"/>
      <c r="K177" s="18"/>
      <c r="L177" s="18"/>
    </row>
    <row r="178" spans="1:12" x14ac:dyDescent="0.25">
      <c r="A178" s="18"/>
      <c r="B178" s="18"/>
      <c r="C178" s="17" t="str">
        <f>IF($B178="","",IFERROR(INDEX('Casos de Teste'!$D$5:$D$205,MATCH($B178,'Casos de Teste'!$A$5:$A$205,0)),"ID não encontrado"))</f>
        <v/>
      </c>
      <c r="D178" s="18"/>
      <c r="E178" s="20"/>
      <c r="F178" s="18"/>
      <c r="G178" s="18"/>
      <c r="H178" s="18"/>
      <c r="I178" s="18"/>
      <c r="J178" s="18"/>
      <c r="K178" s="18"/>
      <c r="L178" s="18"/>
    </row>
    <row r="179" spans="1:12" x14ac:dyDescent="0.25">
      <c r="A179" s="18"/>
      <c r="B179" s="18"/>
      <c r="C179" s="17" t="str">
        <f>IF($B179="","",IFERROR(INDEX('Casos de Teste'!$D$5:$D$205,MATCH($B179,'Casos de Teste'!$A$5:$A$205,0)),"ID não encontrado"))</f>
        <v/>
      </c>
      <c r="D179" s="18"/>
      <c r="E179" s="20"/>
      <c r="F179" s="18"/>
      <c r="G179" s="18"/>
      <c r="H179" s="18"/>
      <c r="I179" s="18"/>
      <c r="J179" s="18"/>
      <c r="K179" s="18"/>
      <c r="L179" s="18"/>
    </row>
    <row r="180" spans="1:12" x14ac:dyDescent="0.25">
      <c r="A180" s="18"/>
      <c r="B180" s="18"/>
      <c r="C180" s="17" t="str">
        <f>IF($B180="","",IFERROR(INDEX('Casos de Teste'!$D$5:$D$205,MATCH($B180,'Casos de Teste'!$A$5:$A$205,0)),"ID não encontrado"))</f>
        <v/>
      </c>
      <c r="D180" s="18"/>
      <c r="E180" s="20"/>
      <c r="F180" s="18"/>
      <c r="G180" s="18"/>
      <c r="H180" s="18"/>
      <c r="I180" s="18"/>
      <c r="J180" s="18"/>
      <c r="K180" s="18"/>
      <c r="L180" s="18"/>
    </row>
    <row r="181" spans="1:12" x14ac:dyDescent="0.25">
      <c r="A181" s="18"/>
      <c r="B181" s="18"/>
      <c r="C181" s="17" t="str">
        <f>IF($B181="","",IFERROR(INDEX('Casos de Teste'!$D$5:$D$205,MATCH($B181,'Casos de Teste'!$A$5:$A$205,0)),"ID não encontrado"))</f>
        <v/>
      </c>
      <c r="D181" s="18"/>
      <c r="E181" s="20"/>
      <c r="F181" s="18"/>
      <c r="G181" s="18"/>
      <c r="H181" s="18"/>
      <c r="I181" s="18"/>
      <c r="J181" s="18"/>
      <c r="K181" s="18"/>
      <c r="L181" s="18"/>
    </row>
    <row r="182" spans="1:12" x14ac:dyDescent="0.25">
      <c r="A182" s="18"/>
      <c r="B182" s="18"/>
      <c r="C182" s="17" t="str">
        <f>IF($B182="","",IFERROR(INDEX('Casos de Teste'!$D$5:$D$205,MATCH($B182,'Casos de Teste'!$A$5:$A$205,0)),"ID não encontrado"))</f>
        <v/>
      </c>
      <c r="D182" s="18"/>
      <c r="E182" s="20"/>
      <c r="F182" s="18"/>
      <c r="G182" s="18"/>
      <c r="H182" s="18"/>
      <c r="I182" s="18"/>
      <c r="J182" s="18"/>
      <c r="K182" s="18"/>
      <c r="L182" s="18"/>
    </row>
    <row r="183" spans="1:12" x14ac:dyDescent="0.25">
      <c r="A183" s="18"/>
      <c r="B183" s="18"/>
      <c r="C183" s="17" t="str">
        <f>IF($B183="","",IFERROR(INDEX('Casos de Teste'!$D$5:$D$205,MATCH($B183,'Casos de Teste'!$A$5:$A$205,0)),"ID não encontrado"))</f>
        <v/>
      </c>
      <c r="D183" s="18"/>
      <c r="E183" s="20"/>
      <c r="F183" s="18"/>
      <c r="G183" s="18"/>
      <c r="H183" s="18"/>
      <c r="I183" s="18"/>
      <c r="J183" s="18"/>
      <c r="K183" s="18"/>
      <c r="L183" s="18"/>
    </row>
    <row r="184" spans="1:12" x14ac:dyDescent="0.25">
      <c r="A184" s="18"/>
      <c r="B184" s="18"/>
      <c r="C184" s="17" t="str">
        <f>IF($B184="","",IFERROR(INDEX('Casos de Teste'!$D$5:$D$205,MATCH($B184,'Casos de Teste'!$A$5:$A$205,0)),"ID não encontrado"))</f>
        <v/>
      </c>
      <c r="D184" s="18"/>
      <c r="E184" s="20"/>
      <c r="F184" s="18"/>
      <c r="G184" s="18"/>
      <c r="H184" s="18"/>
      <c r="I184" s="18"/>
      <c r="J184" s="18"/>
      <c r="K184" s="18"/>
      <c r="L184" s="18"/>
    </row>
    <row r="185" spans="1:12" x14ac:dyDescent="0.25">
      <c r="A185" s="18"/>
      <c r="B185" s="18"/>
      <c r="C185" s="17" t="str">
        <f>IF($B185="","",IFERROR(INDEX('Casos de Teste'!$D$5:$D$205,MATCH($B185,'Casos de Teste'!$A$5:$A$205,0)),"ID não encontrado"))</f>
        <v/>
      </c>
      <c r="D185" s="18"/>
      <c r="E185" s="20"/>
      <c r="F185" s="18"/>
      <c r="G185" s="18"/>
      <c r="H185" s="18"/>
      <c r="I185" s="18"/>
      <c r="J185" s="18"/>
      <c r="K185" s="18"/>
      <c r="L185" s="18"/>
    </row>
    <row r="186" spans="1:12" x14ac:dyDescent="0.25">
      <c r="A186" s="18"/>
      <c r="B186" s="18"/>
      <c r="C186" s="17" t="str">
        <f>IF($B186="","",IFERROR(INDEX('Casos de Teste'!$D$5:$D$205,MATCH($B186,'Casos de Teste'!$A$5:$A$205,0)),"ID não encontrado"))</f>
        <v/>
      </c>
      <c r="D186" s="18"/>
      <c r="E186" s="20"/>
      <c r="F186" s="18"/>
      <c r="G186" s="18"/>
      <c r="H186" s="18"/>
      <c r="I186" s="18"/>
      <c r="J186" s="18"/>
      <c r="K186" s="18"/>
      <c r="L186" s="18"/>
    </row>
    <row r="187" spans="1:12" x14ac:dyDescent="0.25">
      <c r="A187" s="18"/>
      <c r="B187" s="18"/>
      <c r="C187" s="17" t="str">
        <f>IF($B187="","",IFERROR(INDEX('Casos de Teste'!$D$5:$D$205,MATCH($B187,'Casos de Teste'!$A$5:$A$205,0)),"ID não encontrado"))</f>
        <v/>
      </c>
      <c r="D187" s="18"/>
      <c r="E187" s="20"/>
      <c r="F187" s="18"/>
      <c r="G187" s="18"/>
      <c r="H187" s="18"/>
      <c r="I187" s="18"/>
      <c r="J187" s="18"/>
      <c r="K187" s="18"/>
      <c r="L187" s="18"/>
    </row>
    <row r="188" spans="1:12" x14ac:dyDescent="0.25">
      <c r="A188" s="18"/>
      <c r="B188" s="18"/>
      <c r="C188" s="17" t="str">
        <f>IF($B188="","",IFERROR(INDEX('Casos de Teste'!$D$5:$D$205,MATCH($B188,'Casos de Teste'!$A$5:$A$205,0)),"ID não encontrado"))</f>
        <v/>
      </c>
      <c r="D188" s="18"/>
      <c r="E188" s="20"/>
      <c r="F188" s="18"/>
      <c r="G188" s="18"/>
      <c r="H188" s="18"/>
      <c r="I188" s="18"/>
      <c r="J188" s="18"/>
      <c r="K188" s="18"/>
      <c r="L188" s="18"/>
    </row>
    <row r="189" spans="1:12" x14ac:dyDescent="0.25">
      <c r="A189" s="18"/>
      <c r="B189" s="18"/>
      <c r="C189" s="17" t="str">
        <f>IF($B189="","",IFERROR(INDEX('Casos de Teste'!$D$5:$D$205,MATCH($B189,'Casos de Teste'!$A$5:$A$205,0)),"ID não encontrado"))</f>
        <v/>
      </c>
      <c r="D189" s="18"/>
      <c r="E189" s="20"/>
      <c r="F189" s="18"/>
      <c r="G189" s="18"/>
      <c r="H189" s="18"/>
      <c r="I189" s="18"/>
      <c r="J189" s="18"/>
      <c r="K189" s="18"/>
      <c r="L189" s="18"/>
    </row>
    <row r="190" spans="1:12" x14ac:dyDescent="0.25">
      <c r="A190" s="18"/>
      <c r="B190" s="18"/>
      <c r="C190" s="17" t="str">
        <f>IF($B190="","",IFERROR(INDEX('Casos de Teste'!$D$5:$D$205,MATCH($B190,'Casos de Teste'!$A$5:$A$205,0)),"ID não encontrado"))</f>
        <v/>
      </c>
      <c r="D190" s="18"/>
      <c r="E190" s="20"/>
      <c r="F190" s="18"/>
      <c r="G190" s="18"/>
      <c r="H190" s="18"/>
      <c r="I190" s="18"/>
      <c r="J190" s="18"/>
      <c r="K190" s="18"/>
      <c r="L190" s="18"/>
    </row>
    <row r="191" spans="1:12" x14ac:dyDescent="0.25">
      <c r="A191" s="18"/>
      <c r="B191" s="18"/>
      <c r="C191" s="17" t="str">
        <f>IF($B191="","",IFERROR(INDEX('Casos de Teste'!$D$5:$D$205,MATCH($B191,'Casos de Teste'!$A$5:$A$205,0)),"ID não encontrado"))</f>
        <v/>
      </c>
      <c r="D191" s="18"/>
      <c r="E191" s="20"/>
      <c r="F191" s="18"/>
      <c r="G191" s="18"/>
      <c r="H191" s="18"/>
      <c r="I191" s="18"/>
      <c r="J191" s="18"/>
      <c r="K191" s="18"/>
      <c r="L191" s="18"/>
    </row>
    <row r="192" spans="1:12" x14ac:dyDescent="0.25">
      <c r="A192" s="18"/>
      <c r="B192" s="18"/>
      <c r="C192" s="17" t="str">
        <f>IF($B192="","",IFERROR(INDEX('Casos de Teste'!$D$5:$D$205,MATCH($B192,'Casos de Teste'!$A$5:$A$205,0)),"ID não encontrado"))</f>
        <v/>
      </c>
      <c r="D192" s="18"/>
      <c r="E192" s="20"/>
      <c r="F192" s="18"/>
      <c r="G192" s="18"/>
      <c r="H192" s="18"/>
      <c r="I192" s="18"/>
      <c r="J192" s="18"/>
      <c r="K192" s="18"/>
      <c r="L192" s="18"/>
    </row>
    <row r="193" spans="1:12" x14ac:dyDescent="0.25">
      <c r="A193" s="18"/>
      <c r="B193" s="18"/>
      <c r="C193" s="17" t="str">
        <f>IF($B193="","",IFERROR(INDEX('Casos de Teste'!$D$5:$D$205,MATCH($B193,'Casos de Teste'!$A$5:$A$205,0)),"ID não encontrado"))</f>
        <v/>
      </c>
      <c r="D193" s="18"/>
      <c r="E193" s="20"/>
      <c r="F193" s="18"/>
      <c r="G193" s="18"/>
      <c r="H193" s="18"/>
      <c r="I193" s="18"/>
      <c r="J193" s="18"/>
      <c r="K193" s="18"/>
      <c r="L193" s="18"/>
    </row>
    <row r="194" spans="1:12" x14ac:dyDescent="0.25">
      <c r="A194" s="18"/>
      <c r="B194" s="18"/>
      <c r="C194" s="17" t="str">
        <f>IF($B194="","",IFERROR(INDEX('Casos de Teste'!$D$5:$D$205,MATCH($B194,'Casos de Teste'!$A$5:$A$205,0)),"ID não encontrado"))</f>
        <v/>
      </c>
      <c r="D194" s="18"/>
      <c r="E194" s="20"/>
      <c r="F194" s="18"/>
      <c r="G194" s="18"/>
      <c r="H194" s="18"/>
      <c r="I194" s="18"/>
      <c r="J194" s="18"/>
      <c r="K194" s="18"/>
      <c r="L194" s="18"/>
    </row>
    <row r="195" spans="1:12" x14ac:dyDescent="0.25">
      <c r="A195" s="18"/>
      <c r="B195" s="18"/>
      <c r="C195" s="17" t="str">
        <f>IF($B195="","",IFERROR(INDEX('Casos de Teste'!$D$5:$D$205,MATCH($B195,'Casos de Teste'!$A$5:$A$205,0)),"ID não encontrado"))</f>
        <v/>
      </c>
      <c r="D195" s="18"/>
      <c r="E195" s="20"/>
      <c r="F195" s="18"/>
      <c r="G195" s="18"/>
      <c r="H195" s="18"/>
      <c r="I195" s="18"/>
      <c r="J195" s="18"/>
      <c r="K195" s="18"/>
      <c r="L195" s="18"/>
    </row>
    <row r="196" spans="1:12" x14ac:dyDescent="0.25">
      <c r="A196" s="18"/>
      <c r="B196" s="18"/>
      <c r="C196" s="17" t="str">
        <f>IF($B196="","",IFERROR(INDEX('Casos de Teste'!$D$5:$D$205,MATCH($B196,'Casos de Teste'!$A$5:$A$205,0)),"ID não encontrado"))</f>
        <v/>
      </c>
      <c r="D196" s="18"/>
      <c r="E196" s="20"/>
      <c r="F196" s="18"/>
      <c r="G196" s="18"/>
      <c r="H196" s="18"/>
      <c r="I196" s="18"/>
      <c r="J196" s="18"/>
      <c r="K196" s="18"/>
      <c r="L196" s="18"/>
    </row>
    <row r="197" spans="1:12" x14ac:dyDescent="0.25">
      <c r="A197" s="18"/>
      <c r="B197" s="18"/>
      <c r="C197" s="17" t="str">
        <f>IF($B197="","",IFERROR(INDEX('Casos de Teste'!$D$5:$D$205,MATCH($B197,'Casos de Teste'!$A$5:$A$205,0)),"ID não encontrado"))</f>
        <v/>
      </c>
      <c r="D197" s="18"/>
      <c r="E197" s="20"/>
      <c r="F197" s="18"/>
      <c r="G197" s="18"/>
      <c r="H197" s="18"/>
      <c r="I197" s="18"/>
      <c r="J197" s="18"/>
      <c r="K197" s="18"/>
      <c r="L197" s="18"/>
    </row>
    <row r="198" spans="1:12" x14ac:dyDescent="0.25">
      <c r="A198" s="18"/>
      <c r="B198" s="18"/>
      <c r="C198" s="17" t="str">
        <f>IF($B198="","",IFERROR(INDEX('Casos de Teste'!$D$5:$D$205,MATCH($B198,'Casos de Teste'!$A$5:$A$205,0)),"ID não encontrado"))</f>
        <v/>
      </c>
      <c r="D198" s="18"/>
      <c r="E198" s="20"/>
      <c r="F198" s="18"/>
      <c r="G198" s="18"/>
      <c r="H198" s="18"/>
      <c r="I198" s="18"/>
      <c r="J198" s="18"/>
      <c r="K198" s="18"/>
      <c r="L198" s="18"/>
    </row>
    <row r="199" spans="1:12" x14ac:dyDescent="0.25">
      <c r="A199" s="18"/>
      <c r="B199" s="18"/>
      <c r="C199" s="17" t="str">
        <f>IF($B199="","",IFERROR(INDEX('Casos de Teste'!$D$5:$D$205,MATCH($B199,'Casos de Teste'!$A$5:$A$205,0)),"ID não encontrado"))</f>
        <v/>
      </c>
      <c r="D199" s="18"/>
      <c r="E199" s="20"/>
      <c r="F199" s="18"/>
      <c r="G199" s="18"/>
      <c r="H199" s="18"/>
      <c r="I199" s="18"/>
      <c r="J199" s="18"/>
      <c r="K199" s="18"/>
      <c r="L199" s="18"/>
    </row>
    <row r="200" spans="1:12" x14ac:dyDescent="0.25">
      <c r="A200" s="18"/>
      <c r="B200" s="18"/>
      <c r="C200" s="17" t="str">
        <f>IF($B200="","",IFERROR(INDEX('Casos de Teste'!$D$5:$D$205,MATCH($B200,'Casos de Teste'!$A$5:$A$205,0)),"ID não encontrado"))</f>
        <v/>
      </c>
      <c r="D200" s="18"/>
      <c r="E200" s="20"/>
      <c r="F200" s="18"/>
      <c r="G200" s="18"/>
      <c r="H200" s="18"/>
      <c r="I200" s="18"/>
      <c r="J200" s="18"/>
      <c r="K200" s="18"/>
      <c r="L200" s="18"/>
    </row>
    <row r="201" spans="1:12" x14ac:dyDescent="0.25">
      <c r="A201" s="18"/>
      <c r="B201" s="18"/>
      <c r="C201" s="17" t="str">
        <f>IF($B201="","",IFERROR(INDEX('Casos de Teste'!$D$5:$D$205,MATCH($B201,'Casos de Teste'!$A$5:$A$205,0)),"ID não encontrado"))</f>
        <v/>
      </c>
      <c r="D201" s="18"/>
      <c r="E201" s="20"/>
      <c r="F201" s="18"/>
      <c r="G201" s="18"/>
      <c r="H201" s="18"/>
      <c r="I201" s="18"/>
      <c r="J201" s="18"/>
      <c r="K201" s="18"/>
      <c r="L201" s="18"/>
    </row>
    <row r="202" spans="1:12" x14ac:dyDescent="0.25">
      <c r="A202" s="18"/>
      <c r="B202" s="18"/>
      <c r="C202" s="17" t="str">
        <f>IF($B202="","",IFERROR(INDEX('Casos de Teste'!$D$5:$D$205,MATCH($B202,'Casos de Teste'!$A$5:$A$205,0)),"ID não encontrado"))</f>
        <v/>
      </c>
      <c r="D202" s="18"/>
      <c r="E202" s="20"/>
      <c r="F202" s="18"/>
      <c r="G202" s="18"/>
      <c r="H202" s="18"/>
      <c r="I202" s="18"/>
      <c r="J202" s="18"/>
      <c r="K202" s="18"/>
      <c r="L202" s="18"/>
    </row>
    <row r="203" spans="1:12" x14ac:dyDescent="0.25">
      <c r="A203" s="18"/>
      <c r="B203" s="18"/>
      <c r="C203" s="17" t="str">
        <f>IF($B203="","",IFERROR(INDEX('Casos de Teste'!$D$5:$D$205,MATCH($B203,'Casos de Teste'!$A$5:$A$205,0)),"ID não encontrado"))</f>
        <v/>
      </c>
      <c r="D203" s="18"/>
      <c r="E203" s="20"/>
      <c r="F203" s="18"/>
      <c r="G203" s="18"/>
      <c r="H203" s="18"/>
      <c r="I203" s="18"/>
      <c r="J203" s="18"/>
      <c r="K203" s="18"/>
      <c r="L203" s="18"/>
    </row>
  </sheetData>
  <autoFilter ref="A4:L203" xr:uid="{00000000-0009-0000-0000-000004000000}"/>
  <conditionalFormatting sqref="H5:H203">
    <cfRule type="cellIs" dxfId="21" priority="2" operator="equal">
      <formula>"Aprovado"</formula>
    </cfRule>
    <cfRule type="cellIs" dxfId="20" priority="3" operator="equal">
      <formula>"Reprovado"</formula>
    </cfRule>
    <cfRule type="cellIs" dxfId="19" priority="4" operator="equal">
      <formula>"Bloqueado"</formula>
    </cfRule>
    <cfRule type="cellIs" dxfId="18" priority="5" operator="equal">
      <formula>"Fechado"</formula>
    </cfRule>
    <cfRule type="cellIs" dxfId="17" priority="6" operator="equal">
      <formula>"Corrigido"</formula>
    </cfRule>
    <cfRule type="cellIs" dxfId="16" priority="7" operator="equal">
      <formula>"Aberto"</formula>
    </cfRule>
    <cfRule type="cellIs" dxfId="15" priority="8" operator="equal">
      <formula>"Em andamento"</formula>
    </cfRule>
    <cfRule type="cellIs" dxfId="14" priority="9" operator="equal">
      <formula>"Em correção"</formula>
    </cfRule>
    <cfRule type="cellIs" dxfId="13" priority="10" operator="equal">
      <formula>"Reaberto"</formula>
    </cfRule>
  </conditionalFormatting>
  <dataValidations count="2">
    <dataValidation type="list" allowBlank="1" sqref="H5:H203" xr:uid="{00000000-0002-0000-0400-000001000000}">
      <formula1>"Aprovado,Reprovado,Bloqueado"</formula1>
      <formula2>0</formula2>
    </dataValidation>
    <dataValidation type="list" allowBlank="1" sqref="J5:J203" xr:uid="{00000000-0002-0000-0400-000002000000}">
      <formula1>"Screenshot,Vídeo,Log,Relatório"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'Casos de Teste'!$A$5:$A$205</xm:f>
          </x14:formula1>
          <x14:formula2>
            <xm:f>0</xm:f>
          </x14:formula2>
          <xm:sqref>B5:B203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2"/>
  <sheetViews>
    <sheetView tabSelected="1" zoomScaleNormal="100"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I6" sqref="I6"/>
    </sheetView>
  </sheetViews>
  <sheetFormatPr defaultColWidth="8.7109375" defaultRowHeight="15" x14ac:dyDescent="0.25"/>
  <cols>
    <col min="1" max="1" width="11" customWidth="1"/>
    <col min="2" max="2" width="34" customWidth="1"/>
    <col min="3" max="3" width="11" customWidth="1"/>
    <col min="4" max="4" width="18" customWidth="1"/>
    <col min="5" max="5" width="12" customWidth="1"/>
    <col min="6" max="6" width="11" customWidth="1"/>
    <col min="7" max="7" width="14" customWidth="1"/>
    <col min="8" max="8" width="40" customWidth="1"/>
    <col min="9" max="9" width="66.5703125" customWidth="1"/>
    <col min="10" max="11" width="34" customWidth="1"/>
    <col min="12" max="12" width="22" customWidth="1"/>
    <col min="13" max="13" width="34" customWidth="1"/>
    <col min="14" max="14" width="16" customWidth="1"/>
    <col min="15" max="15" width="14" customWidth="1"/>
    <col min="16" max="16" width="16" customWidth="1"/>
    <col min="17" max="17" width="14" customWidth="1"/>
    <col min="18" max="18" width="28" customWidth="1"/>
  </cols>
  <sheetData>
    <row r="1" spans="1:18" ht="18" x14ac:dyDescent="0.25">
      <c r="A1" s="8" t="s">
        <v>115</v>
      </c>
    </row>
    <row r="2" spans="1:18" x14ac:dyDescent="0.25">
      <c r="A2" s="9" t="s">
        <v>116</v>
      </c>
    </row>
    <row r="4" spans="1:18" ht="31.5" customHeight="1" x14ac:dyDescent="0.25">
      <c r="A4" s="15" t="s">
        <v>117</v>
      </c>
      <c r="B4" s="15" t="s">
        <v>118</v>
      </c>
      <c r="C4" s="15" t="s">
        <v>105</v>
      </c>
      <c r="D4" s="15" t="s">
        <v>71</v>
      </c>
      <c r="E4" s="15" t="s">
        <v>55</v>
      </c>
      <c r="F4" s="15" t="s">
        <v>20</v>
      </c>
      <c r="G4" s="15" t="s">
        <v>40</v>
      </c>
      <c r="H4" s="15" t="s">
        <v>119</v>
      </c>
      <c r="I4" s="15" t="s">
        <v>120</v>
      </c>
      <c r="J4" s="15" t="s">
        <v>88</v>
      </c>
      <c r="K4" s="15" t="s">
        <v>89</v>
      </c>
      <c r="L4" s="15" t="s">
        <v>108</v>
      </c>
      <c r="M4" s="15" t="s">
        <v>121</v>
      </c>
      <c r="N4" s="15" t="s">
        <v>122</v>
      </c>
      <c r="O4" s="15" t="s">
        <v>123</v>
      </c>
      <c r="P4" s="15" t="s">
        <v>75</v>
      </c>
      <c r="Q4" s="15" t="s">
        <v>124</v>
      </c>
      <c r="R4" s="15" t="s">
        <v>95</v>
      </c>
    </row>
    <row r="5" spans="1:18" ht="63.75" x14ac:dyDescent="0.25">
      <c r="A5" s="25" t="s">
        <v>125</v>
      </c>
      <c r="B5" s="25" t="s">
        <v>152</v>
      </c>
      <c r="C5" s="24" t="s">
        <v>144</v>
      </c>
      <c r="D5" s="17" t="str">
        <f>IF($C5="","",IFERROR(INDEX('Casos de Teste'!$C$5:$C$205,MATCH($C5,'Casos de Teste'!$A$5:$A$205,0)),"ID não encontrado"))</f>
        <v>Cadastro</v>
      </c>
      <c r="E5" s="18" t="s">
        <v>60</v>
      </c>
      <c r="F5" s="21" t="s">
        <v>58</v>
      </c>
      <c r="G5" s="18" t="s">
        <v>62</v>
      </c>
      <c r="H5" s="25" t="s">
        <v>153</v>
      </c>
      <c r="I5" s="25" t="s">
        <v>141</v>
      </c>
      <c r="J5" s="25" t="s">
        <v>173</v>
      </c>
      <c r="K5" s="25" t="s">
        <v>164</v>
      </c>
      <c r="L5" s="25" t="s">
        <v>151</v>
      </c>
      <c r="M5" s="25" t="s">
        <v>188</v>
      </c>
      <c r="N5" s="25" t="s">
        <v>129</v>
      </c>
      <c r="O5" s="26">
        <v>46303</v>
      </c>
      <c r="P5" s="25"/>
      <c r="Q5" s="26"/>
      <c r="R5" s="25"/>
    </row>
    <row r="6" spans="1:18" ht="51" x14ac:dyDescent="0.25">
      <c r="A6" s="25" t="s">
        <v>183</v>
      </c>
      <c r="B6" s="22" t="s">
        <v>179</v>
      </c>
      <c r="C6" s="24" t="s">
        <v>178</v>
      </c>
      <c r="D6" s="17" t="str">
        <f>IF($C6="","",IFERROR(INDEX('Casos de Teste'!$C$5:$C$205,MATCH($C6,'Casos de Teste'!$A$5:$A$205,0)),"ID não encontrado"))</f>
        <v>Cadastro</v>
      </c>
      <c r="E6" s="18" t="s">
        <v>59</v>
      </c>
      <c r="F6" s="18" t="s">
        <v>59</v>
      </c>
      <c r="G6" s="18" t="s">
        <v>62</v>
      </c>
      <c r="H6" s="25" t="s">
        <v>185</v>
      </c>
      <c r="I6" s="22" t="s">
        <v>191</v>
      </c>
      <c r="J6" s="22" t="s">
        <v>182</v>
      </c>
      <c r="K6" s="22" t="s">
        <v>181</v>
      </c>
      <c r="L6" s="25" t="s">
        <v>151</v>
      </c>
      <c r="M6" s="25" t="s">
        <v>189</v>
      </c>
      <c r="N6" s="25" t="s">
        <v>129</v>
      </c>
      <c r="O6" s="26">
        <v>46305</v>
      </c>
      <c r="P6" s="18"/>
      <c r="Q6" s="20"/>
      <c r="R6" s="18"/>
    </row>
    <row r="7" spans="1:18" x14ac:dyDescent="0.25">
      <c r="A7" s="18"/>
      <c r="B7" s="18"/>
      <c r="C7" s="18"/>
      <c r="D7" s="17" t="str">
        <f>IF($C7="","",IFERROR(INDEX('Casos de Teste'!$C$5:$C$205,MATCH($C7,'Casos de Teste'!$A$5:$A$205,0)),"ID não encontrado"))</f>
        <v/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20"/>
      <c r="P7" s="18"/>
      <c r="Q7" s="20"/>
      <c r="R7" s="18"/>
    </row>
    <row r="8" spans="1:18" x14ac:dyDescent="0.25">
      <c r="A8" s="18"/>
      <c r="B8" s="18"/>
      <c r="C8" s="18"/>
      <c r="D8" s="17" t="str">
        <f>IF($C8="","",IFERROR(INDEX('Casos de Teste'!$C$5:$C$205,MATCH($C8,'Casos de Teste'!$A$5:$A$205,0)),"ID não encontrado"))</f>
        <v/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20"/>
      <c r="P8" s="18"/>
      <c r="Q8" s="20"/>
      <c r="R8" s="18"/>
    </row>
    <row r="9" spans="1:18" x14ac:dyDescent="0.25">
      <c r="A9" s="18"/>
      <c r="B9" s="18"/>
      <c r="C9" s="18"/>
      <c r="D9" s="17" t="str">
        <f>IF($C9="","",IFERROR(INDEX('Casos de Teste'!$C$5:$C$205,MATCH($C9,'Casos de Teste'!$A$5:$A$205,0)),"ID não encontrado"))</f>
        <v/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20"/>
      <c r="P9" s="18"/>
      <c r="Q9" s="20"/>
      <c r="R9" s="18"/>
    </row>
    <row r="10" spans="1:18" x14ac:dyDescent="0.25">
      <c r="A10" s="18"/>
      <c r="B10" s="18"/>
      <c r="C10" s="18"/>
      <c r="D10" s="17" t="str">
        <f>IF($C10="","",IFERROR(INDEX('Casos de Teste'!$C$5:$C$205,MATCH($C10,'Casos de Teste'!$A$5:$A$205,0)),"ID não encontrado"))</f>
        <v/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20"/>
      <c r="P10" s="18"/>
      <c r="Q10" s="20"/>
      <c r="R10" s="18"/>
    </row>
    <row r="11" spans="1:18" x14ac:dyDescent="0.25">
      <c r="A11" s="18"/>
      <c r="B11" s="18"/>
      <c r="C11" s="18"/>
      <c r="D11" s="17" t="str">
        <f>IF($C11="","",IFERROR(INDEX('Casos de Teste'!$C$5:$C$205,MATCH($C11,'Casos de Teste'!$A$5:$A$205,0)),"ID não encontrado"))</f>
        <v/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0"/>
      <c r="P11" s="18"/>
      <c r="Q11" s="20"/>
      <c r="R11" s="18"/>
    </row>
    <row r="12" spans="1:18" x14ac:dyDescent="0.25">
      <c r="A12" s="18"/>
      <c r="B12" s="18"/>
      <c r="C12" s="18"/>
      <c r="D12" s="17" t="str">
        <f>IF($C12="","",IFERROR(INDEX('Casos de Teste'!$C$5:$C$205,MATCH($C12,'Casos de Teste'!$A$5:$A$205,0)),"ID não encontrado"))</f>
        <v/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20"/>
      <c r="P12" s="18"/>
      <c r="Q12" s="20"/>
      <c r="R12" s="18"/>
    </row>
    <row r="13" spans="1:18" x14ac:dyDescent="0.25">
      <c r="A13" s="18"/>
      <c r="B13" s="18"/>
      <c r="C13" s="18"/>
      <c r="D13" s="17" t="str">
        <f>IF($C13="","",IFERROR(INDEX('Casos de Teste'!$C$5:$C$205,MATCH($C13,'Casos de Teste'!$A$5:$A$205,0)),"ID não encontrado"))</f>
        <v/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0"/>
      <c r="P13" s="18"/>
      <c r="Q13" s="20"/>
      <c r="R13" s="18"/>
    </row>
    <row r="14" spans="1:18" x14ac:dyDescent="0.25">
      <c r="A14" s="18"/>
      <c r="B14" s="18"/>
      <c r="C14" s="18"/>
      <c r="D14" s="17" t="str">
        <f>IF($C14="","",IFERROR(INDEX('Casos de Teste'!$C$5:$C$205,MATCH($C14,'Casos de Teste'!$A$5:$A$205,0)),"ID não encontrado"))</f>
        <v/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0"/>
      <c r="P14" s="18"/>
      <c r="Q14" s="20"/>
      <c r="R14" s="18"/>
    </row>
    <row r="15" spans="1:18" x14ac:dyDescent="0.25">
      <c r="A15" s="18"/>
      <c r="B15" s="18"/>
      <c r="C15" s="18"/>
      <c r="D15" s="17" t="str">
        <f>IF($C15="","",IFERROR(INDEX('Casos de Teste'!$C$5:$C$205,MATCH($C15,'Casos de Teste'!$A$5:$A$205,0)),"ID não encontrado"))</f>
        <v/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0"/>
      <c r="P15" s="18"/>
      <c r="Q15" s="20"/>
      <c r="R15" s="18"/>
    </row>
    <row r="16" spans="1:18" x14ac:dyDescent="0.25">
      <c r="A16" s="18"/>
      <c r="B16" s="18"/>
      <c r="C16" s="18"/>
      <c r="D16" s="17" t="str">
        <f>IF($C16="","",IFERROR(INDEX('Casos de Teste'!$C$5:$C$205,MATCH($C16,'Casos de Teste'!$A$5:$A$205,0)),"ID não encontrado"))</f>
        <v/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20"/>
      <c r="P16" s="18"/>
      <c r="Q16" s="20"/>
      <c r="R16" s="18"/>
    </row>
    <row r="17" spans="1:18" x14ac:dyDescent="0.25">
      <c r="A17" s="18"/>
      <c r="B17" s="18"/>
      <c r="C17" s="18"/>
      <c r="D17" s="17" t="str">
        <f>IF($C17="","",IFERROR(INDEX('Casos de Teste'!$C$5:$C$205,MATCH($C17,'Casos de Teste'!$A$5:$A$205,0)),"ID não encontrado"))</f>
        <v/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0"/>
      <c r="P17" s="18"/>
      <c r="Q17" s="20"/>
      <c r="R17" s="18"/>
    </row>
    <row r="18" spans="1:18" x14ac:dyDescent="0.25">
      <c r="A18" s="18"/>
      <c r="B18" s="18"/>
      <c r="C18" s="18"/>
      <c r="D18" s="17" t="str">
        <f>IF($C18="","",IFERROR(INDEX('Casos de Teste'!$C$5:$C$205,MATCH($C18,'Casos de Teste'!$A$5:$A$205,0)),"ID não encontrado"))</f>
        <v/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0"/>
      <c r="P18" s="18"/>
      <c r="Q18" s="20"/>
      <c r="R18" s="18"/>
    </row>
    <row r="19" spans="1:18" x14ac:dyDescent="0.25">
      <c r="A19" s="18"/>
      <c r="B19" s="18"/>
      <c r="C19" s="18"/>
      <c r="D19" s="17" t="str">
        <f>IF($C19="","",IFERROR(INDEX('Casos de Teste'!$C$5:$C$205,MATCH($C19,'Casos de Teste'!$A$5:$A$205,0)),"ID não encontrado"))</f>
        <v/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0"/>
      <c r="P19" s="18"/>
      <c r="Q19" s="20"/>
      <c r="R19" s="18"/>
    </row>
    <row r="20" spans="1:18" x14ac:dyDescent="0.25">
      <c r="A20" s="18"/>
      <c r="B20" s="18"/>
      <c r="C20" s="18"/>
      <c r="D20" s="17" t="str">
        <f>IF($C20="","",IFERROR(INDEX('Casos de Teste'!$C$5:$C$205,MATCH($C20,'Casos de Teste'!$A$5:$A$205,0)),"ID não encontrado"))</f>
        <v/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20"/>
      <c r="P20" s="18"/>
      <c r="Q20" s="20"/>
      <c r="R20" s="18"/>
    </row>
    <row r="21" spans="1:18" x14ac:dyDescent="0.25">
      <c r="A21" s="18"/>
      <c r="B21" s="18"/>
      <c r="C21" s="18"/>
      <c r="D21" s="17" t="str">
        <f>IF($C21="","",IFERROR(INDEX('Casos de Teste'!$C$5:$C$205,MATCH($C21,'Casos de Teste'!$A$5:$A$205,0)),"ID não encontrado"))</f>
        <v/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0"/>
      <c r="P21" s="18"/>
      <c r="Q21" s="20"/>
      <c r="R21" s="18"/>
    </row>
    <row r="22" spans="1:18" x14ac:dyDescent="0.25">
      <c r="A22" s="18"/>
      <c r="B22" s="18"/>
      <c r="C22" s="18"/>
      <c r="D22" s="17" t="str">
        <f>IF($C22="","",IFERROR(INDEX('Casos de Teste'!$C$5:$C$205,MATCH($C22,'Casos de Teste'!$A$5:$A$205,0)),"ID não encontrado"))</f>
        <v/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0"/>
      <c r="P22" s="18"/>
      <c r="Q22" s="20"/>
      <c r="R22" s="18"/>
    </row>
    <row r="23" spans="1:18" x14ac:dyDescent="0.25">
      <c r="A23" s="18"/>
      <c r="B23" s="18"/>
      <c r="C23" s="18"/>
      <c r="D23" s="17" t="str">
        <f>IF($C23="","",IFERROR(INDEX('Casos de Teste'!$C$5:$C$205,MATCH($C23,'Casos de Teste'!$A$5:$A$205,0)),"ID não encontrado"))</f>
        <v/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0"/>
      <c r="P23" s="18"/>
      <c r="Q23" s="20"/>
      <c r="R23" s="18"/>
    </row>
    <row r="24" spans="1:18" x14ac:dyDescent="0.25">
      <c r="A24" s="18"/>
      <c r="B24" s="18"/>
      <c r="C24" s="18"/>
      <c r="D24" s="17" t="str">
        <f>IF($C24="","",IFERROR(INDEX('Casos de Teste'!$C$5:$C$205,MATCH($C24,'Casos de Teste'!$A$5:$A$205,0)),"ID não encontrado"))</f>
        <v/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0"/>
      <c r="P24" s="18"/>
      <c r="Q24" s="20"/>
      <c r="R24" s="18"/>
    </row>
    <row r="25" spans="1:18" x14ac:dyDescent="0.25">
      <c r="A25" s="18"/>
      <c r="B25" s="18"/>
      <c r="C25" s="18"/>
      <c r="D25" s="17" t="str">
        <f>IF($C25="","",IFERROR(INDEX('Casos de Teste'!$C$5:$C$205,MATCH($C25,'Casos de Teste'!$A$5:$A$205,0)),"ID não encontrado"))</f>
        <v/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0"/>
      <c r="P25" s="18"/>
      <c r="Q25" s="20"/>
      <c r="R25" s="18"/>
    </row>
    <row r="26" spans="1:18" x14ac:dyDescent="0.25">
      <c r="A26" s="18"/>
      <c r="B26" s="18"/>
      <c r="C26" s="18"/>
      <c r="D26" s="17" t="str">
        <f>IF($C26="","",IFERROR(INDEX('Casos de Teste'!$C$5:$C$205,MATCH($C26,'Casos de Teste'!$A$5:$A$205,0)),"ID não encontrado"))</f>
        <v/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0"/>
      <c r="P26" s="18"/>
      <c r="Q26" s="20"/>
      <c r="R26" s="18"/>
    </row>
    <row r="27" spans="1:18" x14ac:dyDescent="0.25">
      <c r="A27" s="18"/>
      <c r="B27" s="18"/>
      <c r="C27" s="18"/>
      <c r="D27" s="17" t="str">
        <f>IF($C27="","",IFERROR(INDEX('Casos de Teste'!$C$5:$C$205,MATCH($C27,'Casos de Teste'!$A$5:$A$205,0)),"ID não encontrado"))</f>
        <v/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0"/>
      <c r="P27" s="18"/>
      <c r="Q27" s="20"/>
      <c r="R27" s="18"/>
    </row>
    <row r="28" spans="1:18" x14ac:dyDescent="0.25">
      <c r="A28" s="18"/>
      <c r="B28" s="18"/>
      <c r="C28" s="18"/>
      <c r="D28" s="17" t="str">
        <f>IF($C28="","",IFERROR(INDEX('Casos de Teste'!$C$5:$C$205,MATCH($C28,'Casos de Teste'!$A$5:$A$205,0)),"ID não encontrado"))</f>
        <v/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0"/>
      <c r="P28" s="18"/>
      <c r="Q28" s="20"/>
      <c r="R28" s="18"/>
    </row>
    <row r="29" spans="1:18" x14ac:dyDescent="0.25">
      <c r="A29" s="18"/>
      <c r="B29" s="18"/>
      <c r="C29" s="18"/>
      <c r="D29" s="17" t="str">
        <f>IF($C29="","",IFERROR(INDEX('Casos de Teste'!$C$5:$C$205,MATCH($C29,'Casos de Teste'!$A$5:$A$205,0)),"ID não encontrado"))</f>
        <v/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0"/>
      <c r="P29" s="18"/>
      <c r="Q29" s="20"/>
      <c r="R29" s="18"/>
    </row>
    <row r="30" spans="1:18" x14ac:dyDescent="0.25">
      <c r="A30" s="18"/>
      <c r="B30" s="18"/>
      <c r="C30" s="18"/>
      <c r="D30" s="17" t="str">
        <f>IF($C30="","",IFERROR(INDEX('Casos de Teste'!$C$5:$C$205,MATCH($C30,'Casos de Teste'!$A$5:$A$205,0)),"ID não encontrado"))</f>
        <v/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0"/>
      <c r="P30" s="18"/>
      <c r="Q30" s="20"/>
      <c r="R30" s="18"/>
    </row>
    <row r="31" spans="1:18" x14ac:dyDescent="0.25">
      <c r="A31" s="18"/>
      <c r="B31" s="18"/>
      <c r="C31" s="18"/>
      <c r="D31" s="17" t="str">
        <f>IF($C31="","",IFERROR(INDEX('Casos de Teste'!$C$5:$C$205,MATCH($C31,'Casos de Teste'!$A$5:$A$205,0)),"ID não encontrado"))</f>
        <v/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0"/>
      <c r="P31" s="18"/>
      <c r="Q31" s="20"/>
      <c r="R31" s="18"/>
    </row>
    <row r="32" spans="1:18" x14ac:dyDescent="0.25">
      <c r="A32" s="18"/>
      <c r="B32" s="18"/>
      <c r="C32" s="18"/>
      <c r="D32" s="17" t="str">
        <f>IF($C32="","",IFERROR(INDEX('Casos de Teste'!$C$5:$C$205,MATCH($C32,'Casos de Teste'!$A$5:$A$205,0)),"ID não encontrado"))</f>
        <v/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0"/>
      <c r="P32" s="18"/>
      <c r="Q32" s="20"/>
      <c r="R32" s="18"/>
    </row>
    <row r="33" spans="1:18" x14ac:dyDescent="0.25">
      <c r="A33" s="18"/>
      <c r="B33" s="18"/>
      <c r="C33" s="18"/>
      <c r="D33" s="17" t="str">
        <f>IF($C33="","",IFERROR(INDEX('Casos de Teste'!$C$5:$C$205,MATCH($C33,'Casos de Teste'!$A$5:$A$205,0)),"ID não encontrado"))</f>
        <v/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0"/>
      <c r="P33" s="18"/>
      <c r="Q33" s="20"/>
      <c r="R33" s="18"/>
    </row>
    <row r="34" spans="1:18" x14ac:dyDescent="0.25">
      <c r="A34" s="18"/>
      <c r="B34" s="18"/>
      <c r="C34" s="18"/>
      <c r="D34" s="17" t="str">
        <f>IF($C34="","",IFERROR(INDEX('Casos de Teste'!$C$5:$C$205,MATCH($C34,'Casos de Teste'!$A$5:$A$205,0)),"ID não encontrado"))</f>
        <v/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0"/>
      <c r="P34" s="18"/>
      <c r="Q34" s="20"/>
      <c r="R34" s="18"/>
    </row>
    <row r="35" spans="1:18" x14ac:dyDescent="0.25">
      <c r="A35" s="18"/>
      <c r="B35" s="18"/>
      <c r="C35" s="18"/>
      <c r="D35" s="17" t="str">
        <f>IF($C35="","",IFERROR(INDEX('Casos de Teste'!$C$5:$C$205,MATCH($C35,'Casos de Teste'!$A$5:$A$205,0)),"ID não encontrado"))</f>
        <v/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0"/>
      <c r="P35" s="18"/>
      <c r="Q35" s="20"/>
      <c r="R35" s="18"/>
    </row>
    <row r="36" spans="1:18" x14ac:dyDescent="0.25">
      <c r="A36" s="18"/>
      <c r="B36" s="18"/>
      <c r="C36" s="18"/>
      <c r="D36" s="17" t="str">
        <f>IF($C36="","",IFERROR(INDEX('Casos de Teste'!$C$5:$C$205,MATCH($C36,'Casos de Teste'!$A$5:$A$205,0)),"ID não encontrado"))</f>
        <v/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0"/>
      <c r="P36" s="18"/>
      <c r="Q36" s="20"/>
      <c r="R36" s="18"/>
    </row>
    <row r="37" spans="1:18" x14ac:dyDescent="0.25">
      <c r="A37" s="18"/>
      <c r="B37" s="18"/>
      <c r="C37" s="18"/>
      <c r="D37" s="17" t="str">
        <f>IF($C37="","",IFERROR(INDEX('Casos de Teste'!$C$5:$C$205,MATCH($C37,'Casos de Teste'!$A$5:$A$205,0)),"ID não encontrado"))</f>
        <v/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0"/>
      <c r="P37" s="18"/>
      <c r="Q37" s="20"/>
      <c r="R37" s="18"/>
    </row>
    <row r="38" spans="1:18" x14ac:dyDescent="0.25">
      <c r="A38" s="18"/>
      <c r="B38" s="18"/>
      <c r="C38" s="18"/>
      <c r="D38" s="17" t="str">
        <f>IF($C38="","",IFERROR(INDEX('Casos de Teste'!$C$5:$C$205,MATCH($C38,'Casos de Teste'!$A$5:$A$205,0)),"ID não encontrado"))</f>
        <v/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0"/>
      <c r="P38" s="18"/>
      <c r="Q38" s="20"/>
      <c r="R38" s="18"/>
    </row>
    <row r="39" spans="1:18" x14ac:dyDescent="0.25">
      <c r="A39" s="18"/>
      <c r="B39" s="18"/>
      <c r="C39" s="18"/>
      <c r="D39" s="17" t="str">
        <f>IF($C39="","",IFERROR(INDEX('Casos de Teste'!$C$5:$C$205,MATCH($C39,'Casos de Teste'!$A$5:$A$205,0)),"ID não encontrado"))</f>
        <v/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20"/>
      <c r="P39" s="18"/>
      <c r="Q39" s="20"/>
      <c r="R39" s="18"/>
    </row>
    <row r="40" spans="1:18" x14ac:dyDescent="0.25">
      <c r="A40" s="18"/>
      <c r="B40" s="18"/>
      <c r="C40" s="18"/>
      <c r="D40" s="17" t="str">
        <f>IF($C40="","",IFERROR(INDEX('Casos de Teste'!$C$5:$C$205,MATCH($C40,'Casos de Teste'!$A$5:$A$205,0)),"ID não encontrado"))</f>
        <v/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20"/>
      <c r="P40" s="18"/>
      <c r="Q40" s="20"/>
      <c r="R40" s="18"/>
    </row>
    <row r="41" spans="1:18" x14ac:dyDescent="0.25">
      <c r="A41" s="18"/>
      <c r="B41" s="18"/>
      <c r="C41" s="18"/>
      <c r="D41" s="17" t="str">
        <f>IF($C41="","",IFERROR(INDEX('Casos de Teste'!$C$5:$C$205,MATCH($C41,'Casos de Teste'!$A$5:$A$205,0)),"ID não encontrado"))</f>
        <v/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0"/>
      <c r="P41" s="18"/>
      <c r="Q41" s="20"/>
      <c r="R41" s="18"/>
    </row>
    <row r="42" spans="1:18" x14ac:dyDescent="0.25">
      <c r="A42" s="18"/>
      <c r="B42" s="18"/>
      <c r="C42" s="18"/>
      <c r="D42" s="17" t="str">
        <f>IF($C42="","",IFERROR(INDEX('Casos de Teste'!$C$5:$C$205,MATCH($C42,'Casos de Teste'!$A$5:$A$205,0)),"ID não encontrado"))</f>
        <v/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0"/>
      <c r="P42" s="18"/>
      <c r="Q42" s="20"/>
      <c r="R42" s="18"/>
    </row>
    <row r="43" spans="1:18" x14ac:dyDescent="0.25">
      <c r="A43" s="18"/>
      <c r="B43" s="18"/>
      <c r="C43" s="18"/>
      <c r="D43" s="17" t="str">
        <f>IF($C43="","",IFERROR(INDEX('Casos de Teste'!$C$5:$C$205,MATCH($C43,'Casos de Teste'!$A$5:$A$205,0)),"ID não encontrado"))</f>
        <v/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0"/>
      <c r="P43" s="18"/>
      <c r="Q43" s="20"/>
      <c r="R43" s="18"/>
    </row>
    <row r="44" spans="1:18" x14ac:dyDescent="0.25">
      <c r="A44" s="18"/>
      <c r="B44" s="18"/>
      <c r="C44" s="18"/>
      <c r="D44" s="17" t="str">
        <f>IF($C44="","",IFERROR(INDEX('Casos de Teste'!$C$5:$C$205,MATCH($C44,'Casos de Teste'!$A$5:$A$205,0)),"ID não encontrado"))</f>
        <v/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0"/>
      <c r="P44" s="18"/>
      <c r="Q44" s="20"/>
      <c r="R44" s="18"/>
    </row>
    <row r="45" spans="1:18" x14ac:dyDescent="0.25">
      <c r="A45" s="18"/>
      <c r="B45" s="18"/>
      <c r="C45" s="18"/>
      <c r="D45" s="17" t="str">
        <f>IF($C45="","",IFERROR(INDEX('Casos de Teste'!$C$5:$C$205,MATCH($C45,'Casos de Teste'!$A$5:$A$205,0)),"ID não encontrado"))</f>
        <v/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20"/>
      <c r="P45" s="18"/>
      <c r="Q45" s="20"/>
      <c r="R45" s="18"/>
    </row>
    <row r="46" spans="1:18" x14ac:dyDescent="0.25">
      <c r="A46" s="18"/>
      <c r="B46" s="18"/>
      <c r="C46" s="18"/>
      <c r="D46" s="17" t="str">
        <f>IF($C46="","",IFERROR(INDEX('Casos de Teste'!$C$5:$C$205,MATCH($C46,'Casos de Teste'!$A$5:$A$205,0)),"ID não encontrado"))</f>
        <v/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20"/>
      <c r="P46" s="18"/>
      <c r="Q46" s="20"/>
      <c r="R46" s="18"/>
    </row>
    <row r="47" spans="1:18" x14ac:dyDescent="0.25">
      <c r="A47" s="18"/>
      <c r="B47" s="18"/>
      <c r="C47" s="18"/>
      <c r="D47" s="17" t="str">
        <f>IF($C47="","",IFERROR(INDEX('Casos de Teste'!$C$5:$C$205,MATCH($C47,'Casos de Teste'!$A$5:$A$205,0)),"ID não encontrado"))</f>
        <v/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20"/>
      <c r="P47" s="18"/>
      <c r="Q47" s="20"/>
      <c r="R47" s="18"/>
    </row>
    <row r="48" spans="1:18" x14ac:dyDescent="0.25">
      <c r="A48" s="18"/>
      <c r="B48" s="18"/>
      <c r="C48" s="18"/>
      <c r="D48" s="17" t="str">
        <f>IF($C48="","",IFERROR(INDEX('Casos de Teste'!$C$5:$C$205,MATCH($C48,'Casos de Teste'!$A$5:$A$205,0)),"ID não encontrado"))</f>
        <v/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20"/>
      <c r="P48" s="18"/>
      <c r="Q48" s="20"/>
      <c r="R48" s="18"/>
    </row>
    <row r="49" spans="1:18" x14ac:dyDescent="0.25">
      <c r="A49" s="18"/>
      <c r="B49" s="18"/>
      <c r="C49" s="18"/>
      <c r="D49" s="17" t="str">
        <f>IF($C49="","",IFERROR(INDEX('Casos de Teste'!$C$5:$C$205,MATCH($C49,'Casos de Teste'!$A$5:$A$205,0)),"ID não encontrado"))</f>
        <v/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20"/>
      <c r="P49" s="18"/>
      <c r="Q49" s="20"/>
      <c r="R49" s="18"/>
    </row>
    <row r="50" spans="1:18" x14ac:dyDescent="0.25">
      <c r="A50" s="18"/>
      <c r="B50" s="18"/>
      <c r="C50" s="18"/>
      <c r="D50" s="17" t="str">
        <f>IF($C50="","",IFERROR(INDEX('Casos de Teste'!$C$5:$C$205,MATCH($C50,'Casos de Teste'!$A$5:$A$205,0)),"ID não encontrado"))</f>
        <v/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20"/>
      <c r="P50" s="18"/>
      <c r="Q50" s="20"/>
      <c r="R50" s="18"/>
    </row>
    <row r="51" spans="1:18" x14ac:dyDescent="0.25">
      <c r="A51" s="18"/>
      <c r="B51" s="18"/>
      <c r="C51" s="18"/>
      <c r="D51" s="17" t="str">
        <f>IF($C51="","",IFERROR(INDEX('Casos de Teste'!$C$5:$C$205,MATCH($C51,'Casos de Teste'!$A$5:$A$205,0)),"ID não encontrado"))</f>
        <v/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20"/>
      <c r="P51" s="18"/>
      <c r="Q51" s="20"/>
      <c r="R51" s="18"/>
    </row>
    <row r="52" spans="1:18" x14ac:dyDescent="0.25">
      <c r="A52" s="18"/>
      <c r="B52" s="18"/>
      <c r="C52" s="18"/>
      <c r="D52" s="17" t="str">
        <f>IF($C52="","",IFERROR(INDEX('Casos de Teste'!$C$5:$C$205,MATCH($C52,'Casos de Teste'!$A$5:$A$205,0)),"ID não encontrado"))</f>
        <v/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0"/>
      <c r="P52" s="18"/>
      <c r="Q52" s="20"/>
      <c r="R52" s="18"/>
    </row>
    <row r="53" spans="1:18" x14ac:dyDescent="0.25">
      <c r="A53" s="18"/>
      <c r="B53" s="18"/>
      <c r="C53" s="18"/>
      <c r="D53" s="17" t="str">
        <f>IF($C53="","",IFERROR(INDEX('Casos de Teste'!$C$5:$C$205,MATCH($C53,'Casos de Teste'!$A$5:$A$205,0)),"ID não encontrado"))</f>
        <v/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0"/>
      <c r="P53" s="18"/>
      <c r="Q53" s="20"/>
      <c r="R53" s="18"/>
    </row>
    <row r="54" spans="1:18" x14ac:dyDescent="0.25">
      <c r="A54" s="18"/>
      <c r="B54" s="18"/>
      <c r="C54" s="18"/>
      <c r="D54" s="17" t="str">
        <f>IF($C54="","",IFERROR(INDEX('Casos de Teste'!$C$5:$C$205,MATCH($C54,'Casos de Teste'!$A$5:$A$205,0)),"ID não encontrado"))</f>
        <v/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0"/>
      <c r="P54" s="18"/>
      <c r="Q54" s="20"/>
      <c r="R54" s="18"/>
    </row>
    <row r="55" spans="1:18" x14ac:dyDescent="0.25">
      <c r="A55" s="18"/>
      <c r="B55" s="18"/>
      <c r="C55" s="18"/>
      <c r="D55" s="17" t="str">
        <f>IF($C55="","",IFERROR(INDEX('Casos de Teste'!$C$5:$C$205,MATCH($C55,'Casos de Teste'!$A$5:$A$205,0)),"ID não encontrado"))</f>
        <v/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0"/>
      <c r="P55" s="18"/>
      <c r="Q55" s="20"/>
      <c r="R55" s="18"/>
    </row>
    <row r="56" spans="1:18" x14ac:dyDescent="0.25">
      <c r="A56" s="18"/>
      <c r="B56" s="18"/>
      <c r="C56" s="18"/>
      <c r="D56" s="17" t="str">
        <f>IF($C56="","",IFERROR(INDEX('Casos de Teste'!$C$5:$C$205,MATCH($C56,'Casos de Teste'!$A$5:$A$205,0)),"ID não encontrado"))</f>
        <v/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0"/>
      <c r="P56" s="18"/>
      <c r="Q56" s="20"/>
      <c r="R56" s="18"/>
    </row>
    <row r="57" spans="1:18" x14ac:dyDescent="0.25">
      <c r="A57" s="18"/>
      <c r="B57" s="18"/>
      <c r="C57" s="18"/>
      <c r="D57" s="17" t="str">
        <f>IF($C57="","",IFERROR(INDEX('Casos de Teste'!$C$5:$C$205,MATCH($C57,'Casos de Teste'!$A$5:$A$205,0)),"ID não encontrado"))</f>
        <v/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0"/>
      <c r="P57" s="18"/>
      <c r="Q57" s="20"/>
      <c r="R57" s="18"/>
    </row>
    <row r="58" spans="1:18" x14ac:dyDescent="0.25">
      <c r="A58" s="18"/>
      <c r="B58" s="18"/>
      <c r="C58" s="18"/>
      <c r="D58" s="17" t="str">
        <f>IF($C58="","",IFERROR(INDEX('Casos de Teste'!$C$5:$C$205,MATCH($C58,'Casos de Teste'!$A$5:$A$205,0)),"ID não encontrado"))</f>
        <v/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0"/>
      <c r="P58" s="18"/>
      <c r="Q58" s="20"/>
      <c r="R58" s="18"/>
    </row>
    <row r="59" spans="1:18" x14ac:dyDescent="0.25">
      <c r="A59" s="18"/>
      <c r="B59" s="18"/>
      <c r="C59" s="18"/>
      <c r="D59" s="17" t="str">
        <f>IF($C59="","",IFERROR(INDEX('Casos de Teste'!$C$5:$C$205,MATCH($C59,'Casos de Teste'!$A$5:$A$205,0)),"ID não encontrado"))</f>
        <v/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20"/>
      <c r="P59" s="18"/>
      <c r="Q59" s="20"/>
      <c r="R59" s="18"/>
    </row>
    <row r="60" spans="1:18" x14ac:dyDescent="0.25">
      <c r="A60" s="18"/>
      <c r="B60" s="18"/>
      <c r="C60" s="18"/>
      <c r="D60" s="17" t="str">
        <f>IF($C60="","",IFERROR(INDEX('Casos de Teste'!$C$5:$C$205,MATCH($C60,'Casos de Teste'!$A$5:$A$205,0)),"ID não encontrado"))</f>
        <v/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20"/>
      <c r="P60" s="18"/>
      <c r="Q60" s="20"/>
      <c r="R60" s="18"/>
    </row>
    <row r="61" spans="1:18" x14ac:dyDescent="0.25">
      <c r="A61" s="18"/>
      <c r="B61" s="18"/>
      <c r="C61" s="18"/>
      <c r="D61" s="17" t="str">
        <f>IF($C61="","",IFERROR(INDEX('Casos de Teste'!$C$5:$C$205,MATCH($C61,'Casos de Teste'!$A$5:$A$205,0)),"ID não encontrado"))</f>
        <v/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20"/>
      <c r="P61" s="18"/>
      <c r="Q61" s="20"/>
      <c r="R61" s="18"/>
    </row>
    <row r="62" spans="1:18" x14ac:dyDescent="0.25">
      <c r="A62" s="18"/>
      <c r="B62" s="18"/>
      <c r="C62" s="18"/>
      <c r="D62" s="17" t="str">
        <f>IF($C62="","",IFERROR(INDEX('Casos de Teste'!$C$5:$C$205,MATCH($C62,'Casos de Teste'!$A$5:$A$205,0)),"ID não encontrado"))</f>
        <v/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0"/>
      <c r="P62" s="18"/>
      <c r="Q62" s="20"/>
      <c r="R62" s="18"/>
    </row>
    <row r="63" spans="1:18" x14ac:dyDescent="0.25">
      <c r="A63" s="18"/>
      <c r="B63" s="18"/>
      <c r="C63" s="18"/>
      <c r="D63" s="17" t="str">
        <f>IF($C63="","",IFERROR(INDEX('Casos de Teste'!$C$5:$C$205,MATCH($C63,'Casos de Teste'!$A$5:$A$205,0)),"ID não encontrado"))</f>
        <v/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0"/>
      <c r="P63" s="18"/>
      <c r="Q63" s="20"/>
      <c r="R63" s="18"/>
    </row>
    <row r="64" spans="1:18" x14ac:dyDescent="0.25">
      <c r="A64" s="18"/>
      <c r="B64" s="18"/>
      <c r="C64" s="18"/>
      <c r="D64" s="17" t="str">
        <f>IF($C64="","",IFERROR(INDEX('Casos de Teste'!$C$5:$C$205,MATCH($C64,'Casos de Teste'!$A$5:$A$205,0)),"ID não encontrado"))</f>
        <v/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20"/>
      <c r="P64" s="18"/>
      <c r="Q64" s="20"/>
      <c r="R64" s="18"/>
    </row>
    <row r="65" spans="1:18" x14ac:dyDescent="0.25">
      <c r="A65" s="18"/>
      <c r="B65" s="18"/>
      <c r="C65" s="18"/>
      <c r="D65" s="17" t="str">
        <f>IF($C65="","",IFERROR(INDEX('Casos de Teste'!$C$5:$C$205,MATCH($C65,'Casos de Teste'!$A$5:$A$205,0)),"ID não encontrado"))</f>
        <v/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20"/>
      <c r="P65" s="18"/>
      <c r="Q65" s="20"/>
      <c r="R65" s="18"/>
    </row>
    <row r="66" spans="1:18" x14ac:dyDescent="0.25">
      <c r="A66" s="18"/>
      <c r="B66" s="18"/>
      <c r="C66" s="18"/>
      <c r="D66" s="17" t="str">
        <f>IF($C66="","",IFERROR(INDEX('Casos de Teste'!$C$5:$C$205,MATCH($C66,'Casos de Teste'!$A$5:$A$205,0)),"ID não encontrado"))</f>
        <v/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0"/>
      <c r="P66" s="18"/>
      <c r="Q66" s="20"/>
      <c r="R66" s="18"/>
    </row>
    <row r="67" spans="1:18" x14ac:dyDescent="0.25">
      <c r="A67" s="18"/>
      <c r="B67" s="18"/>
      <c r="C67" s="18"/>
      <c r="D67" s="17" t="str">
        <f>IF($C67="","",IFERROR(INDEX('Casos de Teste'!$C$5:$C$205,MATCH($C67,'Casos de Teste'!$A$5:$A$205,0)),"ID não encontrado"))</f>
        <v/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20"/>
      <c r="P67" s="18"/>
      <c r="Q67" s="20"/>
      <c r="R67" s="18"/>
    </row>
    <row r="68" spans="1:18" x14ac:dyDescent="0.25">
      <c r="A68" s="18"/>
      <c r="B68" s="18"/>
      <c r="C68" s="18"/>
      <c r="D68" s="17" t="str">
        <f>IF($C68="","",IFERROR(INDEX('Casos de Teste'!$C$5:$C$205,MATCH($C68,'Casos de Teste'!$A$5:$A$205,0)),"ID não encontrado"))</f>
        <v/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20"/>
      <c r="P68" s="18"/>
      <c r="Q68" s="20"/>
      <c r="R68" s="18"/>
    </row>
    <row r="69" spans="1:18" x14ac:dyDescent="0.25">
      <c r="A69" s="18"/>
      <c r="B69" s="18"/>
      <c r="C69" s="18"/>
      <c r="D69" s="17" t="str">
        <f>IF($C69="","",IFERROR(INDEX('Casos de Teste'!$C$5:$C$205,MATCH($C69,'Casos de Teste'!$A$5:$A$205,0)),"ID não encontrado"))</f>
        <v/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20"/>
      <c r="P69" s="18"/>
      <c r="Q69" s="20"/>
      <c r="R69" s="18"/>
    </row>
    <row r="70" spans="1:18" x14ac:dyDescent="0.25">
      <c r="A70" s="18"/>
      <c r="B70" s="18"/>
      <c r="C70" s="18"/>
      <c r="D70" s="17" t="str">
        <f>IF($C70="","",IFERROR(INDEX('Casos de Teste'!$C$5:$C$205,MATCH($C70,'Casos de Teste'!$A$5:$A$205,0)),"ID não encontrado"))</f>
        <v/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20"/>
      <c r="P70" s="18"/>
      <c r="Q70" s="20"/>
      <c r="R70" s="18"/>
    </row>
    <row r="71" spans="1:18" x14ac:dyDescent="0.25">
      <c r="A71" s="18"/>
      <c r="B71" s="18"/>
      <c r="C71" s="18"/>
      <c r="D71" s="17" t="str">
        <f>IF($C71="","",IFERROR(INDEX('Casos de Teste'!$C$5:$C$205,MATCH($C71,'Casos de Teste'!$A$5:$A$205,0)),"ID não encontrado"))</f>
        <v/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20"/>
      <c r="P71" s="18"/>
      <c r="Q71" s="20"/>
      <c r="R71" s="18"/>
    </row>
    <row r="72" spans="1:18" x14ac:dyDescent="0.25">
      <c r="A72" s="18"/>
      <c r="B72" s="18"/>
      <c r="C72" s="18"/>
      <c r="D72" s="17" t="str">
        <f>IF($C72="","",IFERROR(INDEX('Casos de Teste'!$C$5:$C$205,MATCH($C72,'Casos de Teste'!$A$5:$A$205,0)),"ID não encontrado"))</f>
        <v/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20"/>
      <c r="P72" s="18"/>
      <c r="Q72" s="20"/>
      <c r="R72" s="18"/>
    </row>
    <row r="73" spans="1:18" x14ac:dyDescent="0.25">
      <c r="A73" s="18"/>
      <c r="B73" s="18"/>
      <c r="C73" s="18"/>
      <c r="D73" s="17" t="str">
        <f>IF($C73="","",IFERROR(INDEX('Casos de Teste'!$C$5:$C$205,MATCH($C73,'Casos de Teste'!$A$5:$A$205,0)),"ID não encontrado"))</f>
        <v/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0"/>
      <c r="P73" s="18"/>
      <c r="Q73" s="20"/>
      <c r="R73" s="18"/>
    </row>
    <row r="74" spans="1:18" x14ac:dyDescent="0.25">
      <c r="A74" s="18"/>
      <c r="B74" s="18"/>
      <c r="C74" s="18"/>
      <c r="D74" s="17" t="str">
        <f>IF($C74="","",IFERROR(INDEX('Casos de Teste'!$C$5:$C$205,MATCH($C74,'Casos de Teste'!$A$5:$A$205,0)),"ID não encontrado"))</f>
        <v/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20"/>
      <c r="P74" s="18"/>
      <c r="Q74" s="20"/>
      <c r="R74" s="18"/>
    </row>
    <row r="75" spans="1:18" x14ac:dyDescent="0.25">
      <c r="A75" s="18"/>
      <c r="B75" s="18"/>
      <c r="C75" s="18"/>
      <c r="D75" s="17" t="str">
        <f>IF($C75="","",IFERROR(INDEX('Casos de Teste'!$C$5:$C$205,MATCH($C75,'Casos de Teste'!$A$5:$A$205,0)),"ID não encontrado"))</f>
        <v/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20"/>
      <c r="P75" s="18"/>
      <c r="Q75" s="20"/>
      <c r="R75" s="18"/>
    </row>
    <row r="76" spans="1:18" x14ac:dyDescent="0.25">
      <c r="A76" s="18"/>
      <c r="B76" s="18"/>
      <c r="C76" s="18"/>
      <c r="D76" s="17" t="str">
        <f>IF($C76="","",IFERROR(INDEX('Casos de Teste'!$C$5:$C$205,MATCH($C76,'Casos de Teste'!$A$5:$A$205,0)),"ID não encontrado"))</f>
        <v/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20"/>
      <c r="P76" s="18"/>
      <c r="Q76" s="20"/>
      <c r="R76" s="18"/>
    </row>
    <row r="77" spans="1:18" x14ac:dyDescent="0.25">
      <c r="A77" s="18"/>
      <c r="B77" s="18"/>
      <c r="C77" s="18"/>
      <c r="D77" s="17" t="str">
        <f>IF($C77="","",IFERROR(INDEX('Casos de Teste'!$C$5:$C$205,MATCH($C77,'Casos de Teste'!$A$5:$A$205,0)),"ID não encontrado"))</f>
        <v/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20"/>
      <c r="P77" s="18"/>
      <c r="Q77" s="20"/>
      <c r="R77" s="18"/>
    </row>
    <row r="78" spans="1:18" x14ac:dyDescent="0.25">
      <c r="A78" s="18"/>
      <c r="B78" s="18"/>
      <c r="C78" s="18"/>
      <c r="D78" s="17" t="str">
        <f>IF($C78="","",IFERROR(INDEX('Casos de Teste'!$C$5:$C$205,MATCH($C78,'Casos de Teste'!$A$5:$A$205,0)),"ID não encontrado"))</f>
        <v/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0"/>
      <c r="P78" s="18"/>
      <c r="Q78" s="20"/>
      <c r="R78" s="18"/>
    </row>
    <row r="79" spans="1:18" x14ac:dyDescent="0.25">
      <c r="A79" s="18"/>
      <c r="B79" s="18"/>
      <c r="C79" s="18"/>
      <c r="D79" s="17" t="str">
        <f>IF($C79="","",IFERROR(INDEX('Casos de Teste'!$C$5:$C$205,MATCH($C79,'Casos de Teste'!$A$5:$A$205,0)),"ID não encontrado"))</f>
        <v/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0"/>
      <c r="P79" s="18"/>
      <c r="Q79" s="20"/>
      <c r="R79" s="18"/>
    </row>
    <row r="80" spans="1:18" x14ac:dyDescent="0.25">
      <c r="A80" s="18"/>
      <c r="B80" s="18"/>
      <c r="C80" s="18"/>
      <c r="D80" s="17" t="str">
        <f>IF($C80="","",IFERROR(INDEX('Casos de Teste'!$C$5:$C$205,MATCH($C80,'Casos de Teste'!$A$5:$A$205,0)),"ID não encontrado"))</f>
        <v/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20"/>
      <c r="P80" s="18"/>
      <c r="Q80" s="20"/>
      <c r="R80" s="18"/>
    </row>
    <row r="81" spans="1:18" x14ac:dyDescent="0.25">
      <c r="A81" s="18"/>
      <c r="B81" s="18"/>
      <c r="C81" s="18"/>
      <c r="D81" s="17" t="str">
        <f>IF($C81="","",IFERROR(INDEX('Casos de Teste'!$C$5:$C$205,MATCH($C81,'Casos de Teste'!$A$5:$A$205,0)),"ID não encontrado"))</f>
        <v/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20"/>
      <c r="P81" s="18"/>
      <c r="Q81" s="20"/>
      <c r="R81" s="18"/>
    </row>
    <row r="82" spans="1:18" x14ac:dyDescent="0.25">
      <c r="A82" s="18"/>
      <c r="B82" s="18"/>
      <c r="C82" s="18"/>
      <c r="D82" s="17" t="str">
        <f>IF($C82="","",IFERROR(INDEX('Casos de Teste'!$C$5:$C$205,MATCH($C82,'Casos de Teste'!$A$5:$A$205,0)),"ID não encontrado"))</f>
        <v/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20"/>
      <c r="P82" s="18"/>
      <c r="Q82" s="20"/>
      <c r="R82" s="18"/>
    </row>
    <row r="83" spans="1:18" x14ac:dyDescent="0.25">
      <c r="A83" s="18"/>
      <c r="B83" s="18"/>
      <c r="C83" s="18"/>
      <c r="D83" s="17" t="str">
        <f>IF($C83="","",IFERROR(INDEX('Casos de Teste'!$C$5:$C$205,MATCH($C83,'Casos de Teste'!$A$5:$A$205,0)),"ID não encontrado"))</f>
        <v/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0"/>
      <c r="P83" s="18"/>
      <c r="Q83" s="20"/>
      <c r="R83" s="18"/>
    </row>
    <row r="84" spans="1:18" x14ac:dyDescent="0.25">
      <c r="A84" s="18"/>
      <c r="B84" s="18"/>
      <c r="C84" s="18"/>
      <c r="D84" s="17" t="str">
        <f>IF($C84="","",IFERROR(INDEX('Casos de Teste'!$C$5:$C$205,MATCH($C84,'Casos de Teste'!$A$5:$A$205,0)),"ID não encontrado"))</f>
        <v/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0"/>
      <c r="P84" s="18"/>
      <c r="Q84" s="20"/>
      <c r="R84" s="18"/>
    </row>
    <row r="85" spans="1:18" x14ac:dyDescent="0.25">
      <c r="A85" s="18"/>
      <c r="B85" s="18"/>
      <c r="C85" s="18"/>
      <c r="D85" s="17" t="str">
        <f>IF($C85="","",IFERROR(INDEX('Casos de Teste'!$C$5:$C$205,MATCH($C85,'Casos de Teste'!$A$5:$A$205,0)),"ID não encontrado"))</f>
        <v/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0"/>
      <c r="P85" s="18"/>
      <c r="Q85" s="20"/>
      <c r="R85" s="18"/>
    </row>
    <row r="86" spans="1:18" x14ac:dyDescent="0.25">
      <c r="A86" s="18"/>
      <c r="B86" s="18"/>
      <c r="C86" s="18"/>
      <c r="D86" s="17" t="str">
        <f>IF($C86="","",IFERROR(INDEX('Casos de Teste'!$C$5:$C$205,MATCH($C86,'Casos de Teste'!$A$5:$A$205,0)),"ID não encontrado"))</f>
        <v/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20"/>
      <c r="P86" s="18"/>
      <c r="Q86" s="20"/>
      <c r="R86" s="18"/>
    </row>
    <row r="87" spans="1:18" x14ac:dyDescent="0.25">
      <c r="A87" s="18"/>
      <c r="B87" s="18"/>
      <c r="C87" s="18"/>
      <c r="D87" s="17" t="str">
        <f>IF($C87="","",IFERROR(INDEX('Casos de Teste'!$C$5:$C$205,MATCH($C87,'Casos de Teste'!$A$5:$A$205,0)),"ID não encontrado"))</f>
        <v/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20"/>
      <c r="P87" s="18"/>
      <c r="Q87" s="20"/>
      <c r="R87" s="18"/>
    </row>
    <row r="88" spans="1:18" x14ac:dyDescent="0.25">
      <c r="A88" s="18"/>
      <c r="B88" s="18"/>
      <c r="C88" s="18"/>
      <c r="D88" s="17" t="str">
        <f>IF($C88="","",IFERROR(INDEX('Casos de Teste'!$C$5:$C$205,MATCH($C88,'Casos de Teste'!$A$5:$A$205,0)),"ID não encontrado"))</f>
        <v/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20"/>
      <c r="P88" s="18"/>
      <c r="Q88" s="20"/>
      <c r="R88" s="18"/>
    </row>
    <row r="89" spans="1:18" x14ac:dyDescent="0.25">
      <c r="A89" s="18"/>
      <c r="B89" s="18"/>
      <c r="C89" s="18"/>
      <c r="D89" s="17" t="str">
        <f>IF($C89="","",IFERROR(INDEX('Casos de Teste'!$C$5:$C$205,MATCH($C89,'Casos de Teste'!$A$5:$A$205,0)),"ID não encontrado"))</f>
        <v/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20"/>
      <c r="P89" s="18"/>
      <c r="Q89" s="20"/>
      <c r="R89" s="18"/>
    </row>
    <row r="90" spans="1:18" x14ac:dyDescent="0.25">
      <c r="A90" s="18"/>
      <c r="B90" s="18"/>
      <c r="C90" s="18"/>
      <c r="D90" s="17" t="str">
        <f>IF($C90="","",IFERROR(INDEX('Casos de Teste'!$C$5:$C$205,MATCH($C90,'Casos de Teste'!$A$5:$A$205,0)),"ID não encontrado"))</f>
        <v/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20"/>
      <c r="P90" s="18"/>
      <c r="Q90" s="20"/>
      <c r="R90" s="18"/>
    </row>
    <row r="91" spans="1:18" x14ac:dyDescent="0.25">
      <c r="A91" s="18"/>
      <c r="B91" s="18"/>
      <c r="C91" s="18"/>
      <c r="D91" s="17" t="str">
        <f>IF($C91="","",IFERROR(INDEX('Casos de Teste'!$C$5:$C$205,MATCH($C91,'Casos de Teste'!$A$5:$A$205,0)),"ID não encontrado"))</f>
        <v/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20"/>
      <c r="P91" s="18"/>
      <c r="Q91" s="20"/>
      <c r="R91" s="18"/>
    </row>
    <row r="92" spans="1:18" x14ac:dyDescent="0.25">
      <c r="A92" s="18"/>
      <c r="B92" s="18"/>
      <c r="C92" s="18"/>
      <c r="D92" s="17" t="str">
        <f>IF($C92="","",IFERROR(INDEX('Casos de Teste'!$C$5:$C$205,MATCH($C92,'Casos de Teste'!$A$5:$A$205,0)),"ID não encontrado"))</f>
        <v/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20"/>
      <c r="P92" s="18"/>
      <c r="Q92" s="20"/>
      <c r="R92" s="18"/>
    </row>
    <row r="93" spans="1:18" x14ac:dyDescent="0.25">
      <c r="A93" s="18"/>
      <c r="B93" s="18"/>
      <c r="C93" s="18"/>
      <c r="D93" s="17" t="str">
        <f>IF($C93="","",IFERROR(INDEX('Casos de Teste'!$C$5:$C$205,MATCH($C93,'Casos de Teste'!$A$5:$A$205,0)),"ID não encontrado"))</f>
        <v/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20"/>
      <c r="P93" s="18"/>
      <c r="Q93" s="20"/>
      <c r="R93" s="18"/>
    </row>
    <row r="94" spans="1:18" x14ac:dyDescent="0.25">
      <c r="A94" s="18"/>
      <c r="B94" s="18"/>
      <c r="C94" s="18"/>
      <c r="D94" s="17" t="str">
        <f>IF($C94="","",IFERROR(INDEX('Casos de Teste'!$C$5:$C$205,MATCH($C94,'Casos de Teste'!$A$5:$A$205,0)),"ID não encontrado"))</f>
        <v/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20"/>
      <c r="P94" s="18"/>
      <c r="Q94" s="20"/>
      <c r="R94" s="18"/>
    </row>
    <row r="95" spans="1:18" x14ac:dyDescent="0.25">
      <c r="A95" s="18"/>
      <c r="B95" s="18"/>
      <c r="C95" s="18"/>
      <c r="D95" s="17" t="str">
        <f>IF($C95="","",IFERROR(INDEX('Casos de Teste'!$C$5:$C$205,MATCH($C95,'Casos de Teste'!$A$5:$A$205,0)),"ID não encontrado"))</f>
        <v/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20"/>
      <c r="P95" s="18"/>
      <c r="Q95" s="20"/>
      <c r="R95" s="18"/>
    </row>
    <row r="96" spans="1:18" x14ac:dyDescent="0.25">
      <c r="A96" s="18"/>
      <c r="B96" s="18"/>
      <c r="C96" s="18"/>
      <c r="D96" s="17" t="str">
        <f>IF($C96="","",IFERROR(INDEX('Casos de Teste'!$C$5:$C$205,MATCH($C96,'Casos de Teste'!$A$5:$A$205,0)),"ID não encontrado"))</f>
        <v/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20"/>
      <c r="P96" s="18"/>
      <c r="Q96" s="20"/>
      <c r="R96" s="18"/>
    </row>
    <row r="97" spans="1:18" x14ac:dyDescent="0.25">
      <c r="A97" s="18"/>
      <c r="B97" s="18"/>
      <c r="C97" s="18"/>
      <c r="D97" s="17" t="str">
        <f>IF($C97="","",IFERROR(INDEX('Casos de Teste'!$C$5:$C$205,MATCH($C97,'Casos de Teste'!$A$5:$A$205,0)),"ID não encontrado"))</f>
        <v/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20"/>
      <c r="P97" s="18"/>
      <c r="Q97" s="20"/>
      <c r="R97" s="18"/>
    </row>
    <row r="98" spans="1:18" x14ac:dyDescent="0.25">
      <c r="A98" s="18"/>
      <c r="B98" s="18"/>
      <c r="C98" s="18"/>
      <c r="D98" s="17" t="str">
        <f>IF($C98="","",IFERROR(INDEX('Casos de Teste'!$C$5:$C$205,MATCH($C98,'Casos de Teste'!$A$5:$A$205,0)),"ID não encontrado"))</f>
        <v/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20"/>
      <c r="P98" s="18"/>
      <c r="Q98" s="20"/>
      <c r="R98" s="18"/>
    </row>
    <row r="99" spans="1:18" x14ac:dyDescent="0.25">
      <c r="A99" s="18"/>
      <c r="B99" s="18"/>
      <c r="C99" s="18"/>
      <c r="D99" s="17" t="str">
        <f>IF($C99="","",IFERROR(INDEX('Casos de Teste'!$C$5:$C$205,MATCH($C99,'Casos de Teste'!$A$5:$A$205,0)),"ID não encontrado"))</f>
        <v/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20"/>
      <c r="P99" s="18"/>
      <c r="Q99" s="20"/>
      <c r="R99" s="18"/>
    </row>
    <row r="100" spans="1:18" x14ac:dyDescent="0.25">
      <c r="A100" s="18"/>
      <c r="B100" s="18"/>
      <c r="C100" s="18"/>
      <c r="D100" s="17" t="str">
        <f>IF($C100="","",IFERROR(INDEX('Casos de Teste'!$C$5:$C$205,MATCH($C100,'Casos de Teste'!$A$5:$A$205,0)),"ID não encontrado"))</f>
        <v/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20"/>
      <c r="P100" s="18"/>
      <c r="Q100" s="20"/>
      <c r="R100" s="18"/>
    </row>
    <row r="101" spans="1:18" x14ac:dyDescent="0.25">
      <c r="A101" s="18"/>
      <c r="B101" s="18"/>
      <c r="C101" s="18"/>
      <c r="D101" s="17" t="str">
        <f>IF($C101="","",IFERROR(INDEX('Casos de Teste'!$C$5:$C$205,MATCH($C101,'Casos de Teste'!$A$5:$A$205,0)),"ID não encontrado"))</f>
        <v/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20"/>
      <c r="P101" s="18"/>
      <c r="Q101" s="20"/>
      <c r="R101" s="18"/>
    </row>
    <row r="102" spans="1:18" x14ac:dyDescent="0.25">
      <c r="A102" s="18"/>
      <c r="B102" s="18"/>
      <c r="C102" s="18"/>
      <c r="D102" s="17" t="str">
        <f>IF($C102="","",IFERROR(INDEX('Casos de Teste'!$C$5:$C$205,MATCH($C102,'Casos de Teste'!$A$5:$A$205,0)),"ID não encontrado"))</f>
        <v/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20"/>
      <c r="P102" s="18"/>
      <c r="Q102" s="20"/>
      <c r="R102" s="18"/>
    </row>
    <row r="103" spans="1:18" x14ac:dyDescent="0.25">
      <c r="A103" s="18"/>
      <c r="B103" s="18"/>
      <c r="C103" s="18"/>
      <c r="D103" s="17" t="str">
        <f>IF($C103="","",IFERROR(INDEX('Casos de Teste'!$C$5:$C$205,MATCH($C103,'Casos de Teste'!$A$5:$A$205,0)),"ID não encontrado"))</f>
        <v/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20"/>
      <c r="P103" s="18"/>
      <c r="Q103" s="20"/>
      <c r="R103" s="18"/>
    </row>
    <row r="104" spans="1:18" x14ac:dyDescent="0.25">
      <c r="A104" s="18"/>
      <c r="B104" s="18"/>
      <c r="C104" s="18"/>
      <c r="D104" s="17" t="str">
        <f>IF($C104="","",IFERROR(INDEX('Casos de Teste'!$C$5:$C$205,MATCH($C104,'Casos de Teste'!$A$5:$A$205,0)),"ID não encontrado"))</f>
        <v/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20"/>
      <c r="P104" s="18"/>
      <c r="Q104" s="20"/>
      <c r="R104" s="18"/>
    </row>
    <row r="105" spans="1:18" x14ac:dyDescent="0.25">
      <c r="A105" s="18"/>
      <c r="B105" s="18"/>
      <c r="C105" s="18"/>
      <c r="D105" s="17" t="str">
        <f>IF($C105="","",IFERROR(INDEX('Casos de Teste'!$C$5:$C$205,MATCH($C105,'Casos de Teste'!$A$5:$A$205,0)),"ID não encontrado"))</f>
        <v/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20"/>
      <c r="P105" s="18"/>
      <c r="Q105" s="20"/>
      <c r="R105" s="18"/>
    </row>
    <row r="106" spans="1:18" x14ac:dyDescent="0.25">
      <c r="A106" s="18"/>
      <c r="B106" s="18"/>
      <c r="C106" s="18"/>
      <c r="D106" s="17" t="str">
        <f>IF($C106="","",IFERROR(INDEX('Casos de Teste'!$C$5:$C$205,MATCH($C106,'Casos de Teste'!$A$5:$A$205,0)),"ID não encontrado"))</f>
        <v/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20"/>
      <c r="P106" s="18"/>
      <c r="Q106" s="20"/>
      <c r="R106" s="18"/>
    </row>
    <row r="107" spans="1:18" x14ac:dyDescent="0.25">
      <c r="A107" s="18"/>
      <c r="B107" s="18"/>
      <c r="C107" s="18"/>
      <c r="D107" s="17" t="str">
        <f>IF($C107="","",IFERROR(INDEX('Casos de Teste'!$C$5:$C$205,MATCH($C107,'Casos de Teste'!$A$5:$A$205,0)),"ID não encontrado"))</f>
        <v/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20"/>
      <c r="P107" s="18"/>
      <c r="Q107" s="20"/>
      <c r="R107" s="18"/>
    </row>
    <row r="108" spans="1:18" x14ac:dyDescent="0.25">
      <c r="A108" s="18"/>
      <c r="B108" s="18"/>
      <c r="C108" s="18"/>
      <c r="D108" s="17" t="str">
        <f>IF($C108="","",IFERROR(INDEX('Casos de Teste'!$C$5:$C$205,MATCH($C108,'Casos de Teste'!$A$5:$A$205,0)),"ID não encontrado"))</f>
        <v/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20"/>
      <c r="P108" s="18"/>
      <c r="Q108" s="20"/>
      <c r="R108" s="18"/>
    </row>
    <row r="109" spans="1:18" x14ac:dyDescent="0.25">
      <c r="A109" s="18"/>
      <c r="B109" s="18"/>
      <c r="C109" s="18"/>
      <c r="D109" s="17" t="str">
        <f>IF($C109="","",IFERROR(INDEX('Casos de Teste'!$C$5:$C$205,MATCH($C109,'Casos de Teste'!$A$5:$A$205,0)),"ID não encontrado"))</f>
        <v/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20"/>
      <c r="P109" s="18"/>
      <c r="Q109" s="20"/>
      <c r="R109" s="18"/>
    </row>
    <row r="110" spans="1:18" x14ac:dyDescent="0.25">
      <c r="A110" s="18"/>
      <c r="B110" s="18"/>
      <c r="C110" s="18"/>
      <c r="D110" s="17" t="str">
        <f>IF($C110="","",IFERROR(INDEX('Casos de Teste'!$C$5:$C$205,MATCH($C110,'Casos de Teste'!$A$5:$A$205,0)),"ID não encontrado"))</f>
        <v/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20"/>
      <c r="P110" s="18"/>
      <c r="Q110" s="20"/>
      <c r="R110" s="18"/>
    </row>
    <row r="111" spans="1:18" x14ac:dyDescent="0.25">
      <c r="A111" s="18"/>
      <c r="B111" s="18"/>
      <c r="C111" s="18"/>
      <c r="D111" s="17" t="str">
        <f>IF($C111="","",IFERROR(INDEX('Casos de Teste'!$C$5:$C$205,MATCH($C111,'Casos de Teste'!$A$5:$A$205,0)),"ID não encontrado"))</f>
        <v/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20"/>
      <c r="P111" s="18"/>
      <c r="Q111" s="20"/>
      <c r="R111" s="18"/>
    </row>
    <row r="112" spans="1:18" x14ac:dyDescent="0.25">
      <c r="A112" s="18"/>
      <c r="B112" s="18"/>
      <c r="C112" s="18"/>
      <c r="D112" s="17" t="str">
        <f>IF($C112="","",IFERROR(INDEX('Casos de Teste'!$C$5:$C$205,MATCH($C112,'Casos de Teste'!$A$5:$A$205,0)),"ID não encontrado"))</f>
        <v/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20"/>
      <c r="P112" s="18"/>
      <c r="Q112" s="20"/>
      <c r="R112" s="18"/>
    </row>
    <row r="113" spans="1:18" x14ac:dyDescent="0.25">
      <c r="A113" s="18"/>
      <c r="B113" s="18"/>
      <c r="C113" s="18"/>
      <c r="D113" s="17" t="str">
        <f>IF($C113="","",IFERROR(INDEX('Casos de Teste'!$C$5:$C$205,MATCH($C113,'Casos de Teste'!$A$5:$A$205,0)),"ID não encontrado"))</f>
        <v/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20"/>
      <c r="P113" s="18"/>
      <c r="Q113" s="20"/>
      <c r="R113" s="18"/>
    </row>
    <row r="114" spans="1:18" x14ac:dyDescent="0.25">
      <c r="A114" s="18"/>
      <c r="B114" s="18"/>
      <c r="C114" s="18"/>
      <c r="D114" s="17" t="str">
        <f>IF($C114="","",IFERROR(INDEX('Casos de Teste'!$C$5:$C$205,MATCH($C114,'Casos de Teste'!$A$5:$A$205,0)),"ID não encontrado"))</f>
        <v/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20"/>
      <c r="P114" s="18"/>
      <c r="Q114" s="20"/>
      <c r="R114" s="18"/>
    </row>
    <row r="115" spans="1:18" x14ac:dyDescent="0.25">
      <c r="A115" s="18"/>
      <c r="B115" s="18"/>
      <c r="C115" s="18"/>
      <c r="D115" s="17" t="str">
        <f>IF($C115="","",IFERROR(INDEX('Casos de Teste'!$C$5:$C$205,MATCH($C115,'Casos de Teste'!$A$5:$A$205,0)),"ID não encontrado"))</f>
        <v/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20"/>
      <c r="P115" s="18"/>
      <c r="Q115" s="20"/>
      <c r="R115" s="18"/>
    </row>
    <row r="116" spans="1:18" x14ac:dyDescent="0.25">
      <c r="A116" s="18"/>
      <c r="B116" s="18"/>
      <c r="C116" s="18"/>
      <c r="D116" s="17" t="str">
        <f>IF($C116="","",IFERROR(INDEX('Casos de Teste'!$C$5:$C$205,MATCH($C116,'Casos de Teste'!$A$5:$A$205,0)),"ID não encontrado"))</f>
        <v/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20"/>
      <c r="P116" s="18"/>
      <c r="Q116" s="20"/>
      <c r="R116" s="18"/>
    </row>
    <row r="117" spans="1:18" x14ac:dyDescent="0.25">
      <c r="A117" s="18"/>
      <c r="B117" s="18"/>
      <c r="C117" s="18"/>
      <c r="D117" s="17" t="str">
        <f>IF($C117="","",IFERROR(INDEX('Casos de Teste'!$C$5:$C$205,MATCH($C117,'Casos de Teste'!$A$5:$A$205,0)),"ID não encontrado"))</f>
        <v/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20"/>
      <c r="P117" s="18"/>
      <c r="Q117" s="20"/>
      <c r="R117" s="18"/>
    </row>
    <row r="118" spans="1:18" x14ac:dyDescent="0.25">
      <c r="A118" s="18"/>
      <c r="B118" s="18"/>
      <c r="C118" s="18"/>
      <c r="D118" s="17" t="str">
        <f>IF($C118="","",IFERROR(INDEX('Casos de Teste'!$C$5:$C$205,MATCH($C118,'Casos de Teste'!$A$5:$A$205,0)),"ID não encontrado"))</f>
        <v/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20"/>
      <c r="P118" s="18"/>
      <c r="Q118" s="20"/>
      <c r="R118" s="18"/>
    </row>
    <row r="119" spans="1:18" x14ac:dyDescent="0.25">
      <c r="A119" s="18"/>
      <c r="B119" s="18"/>
      <c r="C119" s="18"/>
      <c r="D119" s="17" t="str">
        <f>IF($C119="","",IFERROR(INDEX('Casos de Teste'!$C$5:$C$205,MATCH($C119,'Casos de Teste'!$A$5:$A$205,0)),"ID não encontrado"))</f>
        <v/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20"/>
      <c r="P119" s="18"/>
      <c r="Q119" s="20"/>
      <c r="R119" s="18"/>
    </row>
    <row r="120" spans="1:18" x14ac:dyDescent="0.25">
      <c r="A120" s="18"/>
      <c r="B120" s="18"/>
      <c r="C120" s="18"/>
      <c r="D120" s="17" t="str">
        <f>IF($C120="","",IFERROR(INDEX('Casos de Teste'!$C$5:$C$205,MATCH($C120,'Casos de Teste'!$A$5:$A$205,0)),"ID não encontrado"))</f>
        <v/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0"/>
      <c r="P120" s="18"/>
      <c r="Q120" s="20"/>
      <c r="R120" s="18"/>
    </row>
    <row r="121" spans="1:18" x14ac:dyDescent="0.25">
      <c r="A121" s="18"/>
      <c r="B121" s="18"/>
      <c r="C121" s="18"/>
      <c r="D121" s="17" t="str">
        <f>IF($C121="","",IFERROR(INDEX('Casos de Teste'!$C$5:$C$205,MATCH($C121,'Casos de Teste'!$A$5:$A$205,0)),"ID não encontrado"))</f>
        <v/>
      </c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20"/>
      <c r="P121" s="18"/>
      <c r="Q121" s="20"/>
      <c r="R121" s="18"/>
    </row>
    <row r="122" spans="1:18" x14ac:dyDescent="0.25">
      <c r="A122" s="18"/>
      <c r="B122" s="18"/>
      <c r="C122" s="18"/>
      <c r="D122" s="17" t="str">
        <f>IF($C122="","",IFERROR(INDEX('Casos de Teste'!$C$5:$C$205,MATCH($C122,'Casos de Teste'!$A$5:$A$205,0)),"ID não encontrado"))</f>
        <v/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20"/>
      <c r="P122" s="18"/>
      <c r="Q122" s="20"/>
      <c r="R122" s="18"/>
    </row>
    <row r="123" spans="1:18" x14ac:dyDescent="0.25">
      <c r="A123" s="18"/>
      <c r="B123" s="18"/>
      <c r="C123" s="18"/>
      <c r="D123" s="17" t="str">
        <f>IF($C123="","",IFERROR(INDEX('Casos de Teste'!$C$5:$C$205,MATCH($C123,'Casos de Teste'!$A$5:$A$205,0)),"ID não encontrado"))</f>
        <v/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20"/>
      <c r="P123" s="18"/>
      <c r="Q123" s="20"/>
      <c r="R123" s="18"/>
    </row>
    <row r="124" spans="1:18" x14ac:dyDescent="0.25">
      <c r="A124" s="18"/>
      <c r="B124" s="18"/>
      <c r="C124" s="18"/>
      <c r="D124" s="17" t="str">
        <f>IF($C124="","",IFERROR(INDEX('Casos de Teste'!$C$5:$C$205,MATCH($C124,'Casos de Teste'!$A$5:$A$205,0)),"ID não encontrado"))</f>
        <v/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20"/>
      <c r="P124" s="18"/>
      <c r="Q124" s="20"/>
      <c r="R124" s="18"/>
    </row>
    <row r="125" spans="1:18" x14ac:dyDescent="0.25">
      <c r="A125" s="18"/>
      <c r="B125" s="18"/>
      <c r="C125" s="18"/>
      <c r="D125" s="17" t="str">
        <f>IF($C125="","",IFERROR(INDEX('Casos de Teste'!$C$5:$C$205,MATCH($C125,'Casos de Teste'!$A$5:$A$205,0)),"ID não encontrado"))</f>
        <v/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20"/>
      <c r="P125" s="18"/>
      <c r="Q125" s="20"/>
      <c r="R125" s="18"/>
    </row>
    <row r="126" spans="1:18" x14ac:dyDescent="0.25">
      <c r="A126" s="18"/>
      <c r="B126" s="18"/>
      <c r="C126" s="18"/>
      <c r="D126" s="17" t="str">
        <f>IF($C126="","",IFERROR(INDEX('Casos de Teste'!$C$5:$C$205,MATCH($C126,'Casos de Teste'!$A$5:$A$205,0)),"ID não encontrado"))</f>
        <v/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20"/>
      <c r="P126" s="18"/>
      <c r="Q126" s="20"/>
      <c r="R126" s="18"/>
    </row>
    <row r="127" spans="1:18" x14ac:dyDescent="0.25">
      <c r="A127" s="18"/>
      <c r="B127" s="18"/>
      <c r="C127" s="18"/>
      <c r="D127" s="17" t="str">
        <f>IF($C127="","",IFERROR(INDEX('Casos de Teste'!$C$5:$C$205,MATCH($C127,'Casos de Teste'!$A$5:$A$205,0)),"ID não encontrado"))</f>
        <v/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20"/>
      <c r="P127" s="18"/>
      <c r="Q127" s="20"/>
      <c r="R127" s="18"/>
    </row>
    <row r="128" spans="1:18" x14ac:dyDescent="0.25">
      <c r="A128" s="18"/>
      <c r="B128" s="18"/>
      <c r="C128" s="18"/>
      <c r="D128" s="17" t="str">
        <f>IF($C128="","",IFERROR(INDEX('Casos de Teste'!$C$5:$C$205,MATCH($C128,'Casos de Teste'!$A$5:$A$205,0)),"ID não encontrado"))</f>
        <v/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20"/>
      <c r="P128" s="18"/>
      <c r="Q128" s="20"/>
      <c r="R128" s="18"/>
    </row>
    <row r="129" spans="1:18" x14ac:dyDescent="0.25">
      <c r="A129" s="18"/>
      <c r="B129" s="18"/>
      <c r="C129" s="18"/>
      <c r="D129" s="17" t="str">
        <f>IF($C129="","",IFERROR(INDEX('Casos de Teste'!$C$5:$C$205,MATCH($C129,'Casos de Teste'!$A$5:$A$205,0)),"ID não encontrado"))</f>
        <v/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0"/>
      <c r="P129" s="18"/>
      <c r="Q129" s="20"/>
      <c r="R129" s="18"/>
    </row>
    <row r="130" spans="1:18" x14ac:dyDescent="0.25">
      <c r="A130" s="18"/>
      <c r="B130" s="18"/>
      <c r="C130" s="18"/>
      <c r="D130" s="17" t="str">
        <f>IF($C130="","",IFERROR(INDEX('Casos de Teste'!$C$5:$C$205,MATCH($C130,'Casos de Teste'!$A$5:$A$205,0)),"ID não encontrado"))</f>
        <v/>
      </c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20"/>
      <c r="P130" s="18"/>
      <c r="Q130" s="20"/>
      <c r="R130" s="18"/>
    </row>
    <row r="131" spans="1:18" x14ac:dyDescent="0.25">
      <c r="A131" s="18"/>
      <c r="B131" s="18"/>
      <c r="C131" s="18"/>
      <c r="D131" s="17" t="str">
        <f>IF($C131="","",IFERROR(INDEX('Casos de Teste'!$C$5:$C$205,MATCH($C131,'Casos de Teste'!$A$5:$A$205,0)),"ID não encontrado"))</f>
        <v/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20"/>
      <c r="P131" s="18"/>
      <c r="Q131" s="20"/>
      <c r="R131" s="18"/>
    </row>
    <row r="132" spans="1:18" x14ac:dyDescent="0.25">
      <c r="A132" s="18"/>
      <c r="B132" s="18"/>
      <c r="C132" s="18"/>
      <c r="D132" s="17" t="str">
        <f>IF($C132="","",IFERROR(INDEX('Casos de Teste'!$C$5:$C$205,MATCH($C132,'Casos de Teste'!$A$5:$A$205,0)),"ID não encontrado"))</f>
        <v/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20"/>
      <c r="P132" s="18"/>
      <c r="Q132" s="20"/>
      <c r="R132" s="18"/>
    </row>
    <row r="133" spans="1:18" x14ac:dyDescent="0.25">
      <c r="A133" s="18"/>
      <c r="B133" s="18"/>
      <c r="C133" s="18"/>
      <c r="D133" s="17" t="str">
        <f>IF($C133="","",IFERROR(INDEX('Casos de Teste'!$C$5:$C$205,MATCH($C133,'Casos de Teste'!$A$5:$A$205,0)),"ID não encontrado"))</f>
        <v/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20"/>
      <c r="P133" s="18"/>
      <c r="Q133" s="20"/>
      <c r="R133" s="18"/>
    </row>
    <row r="134" spans="1:18" x14ac:dyDescent="0.25">
      <c r="A134" s="18"/>
      <c r="B134" s="18"/>
      <c r="C134" s="18"/>
      <c r="D134" s="17" t="str">
        <f>IF($C134="","",IFERROR(INDEX('Casos de Teste'!$C$5:$C$205,MATCH($C134,'Casos de Teste'!$A$5:$A$205,0)),"ID não encontrado"))</f>
        <v/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0"/>
      <c r="P134" s="18"/>
      <c r="Q134" s="20"/>
      <c r="R134" s="18"/>
    </row>
    <row r="135" spans="1:18" x14ac:dyDescent="0.25">
      <c r="A135" s="18"/>
      <c r="B135" s="18"/>
      <c r="C135" s="18"/>
      <c r="D135" s="17" t="str">
        <f>IF($C135="","",IFERROR(INDEX('Casos de Teste'!$C$5:$C$205,MATCH($C135,'Casos de Teste'!$A$5:$A$205,0)),"ID não encontrado"))</f>
        <v/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20"/>
      <c r="P135" s="18"/>
      <c r="Q135" s="20"/>
      <c r="R135" s="18"/>
    </row>
    <row r="136" spans="1:18" x14ac:dyDescent="0.25">
      <c r="A136" s="18"/>
      <c r="B136" s="18"/>
      <c r="C136" s="18"/>
      <c r="D136" s="17" t="str">
        <f>IF($C136="","",IFERROR(INDEX('Casos de Teste'!$C$5:$C$205,MATCH($C136,'Casos de Teste'!$A$5:$A$205,0)),"ID não encontrado"))</f>
        <v/>
      </c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20"/>
      <c r="P136" s="18"/>
      <c r="Q136" s="20"/>
      <c r="R136" s="18"/>
    </row>
    <row r="137" spans="1:18" x14ac:dyDescent="0.25">
      <c r="A137" s="18"/>
      <c r="B137" s="18"/>
      <c r="C137" s="18"/>
      <c r="D137" s="17" t="str">
        <f>IF($C137="","",IFERROR(INDEX('Casos de Teste'!$C$5:$C$205,MATCH($C137,'Casos de Teste'!$A$5:$A$205,0)),"ID não encontrado"))</f>
        <v/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20"/>
      <c r="P137" s="18"/>
      <c r="Q137" s="20"/>
      <c r="R137" s="18"/>
    </row>
    <row r="138" spans="1:18" x14ac:dyDescent="0.25">
      <c r="A138" s="18"/>
      <c r="B138" s="18"/>
      <c r="C138" s="18"/>
      <c r="D138" s="17" t="str">
        <f>IF($C138="","",IFERROR(INDEX('Casos de Teste'!$C$5:$C$205,MATCH($C138,'Casos de Teste'!$A$5:$A$205,0)),"ID não encontrado"))</f>
        <v/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20"/>
      <c r="P138" s="18"/>
      <c r="Q138" s="20"/>
      <c r="R138" s="18"/>
    </row>
    <row r="139" spans="1:18" x14ac:dyDescent="0.25">
      <c r="A139" s="18"/>
      <c r="B139" s="18"/>
      <c r="C139" s="18"/>
      <c r="D139" s="17" t="str">
        <f>IF($C139="","",IFERROR(INDEX('Casos de Teste'!$C$5:$C$205,MATCH($C139,'Casos de Teste'!$A$5:$A$205,0)),"ID não encontrado"))</f>
        <v/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20"/>
      <c r="P139" s="18"/>
      <c r="Q139" s="20"/>
      <c r="R139" s="18"/>
    </row>
    <row r="140" spans="1:18" x14ac:dyDescent="0.25">
      <c r="A140" s="18"/>
      <c r="B140" s="18"/>
      <c r="C140" s="18"/>
      <c r="D140" s="17" t="str">
        <f>IF($C140="","",IFERROR(INDEX('Casos de Teste'!$C$5:$C$205,MATCH($C140,'Casos de Teste'!$A$5:$A$205,0)),"ID não encontrado"))</f>
        <v/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20"/>
      <c r="P140" s="18"/>
      <c r="Q140" s="20"/>
      <c r="R140" s="18"/>
    </row>
    <row r="141" spans="1:18" x14ac:dyDescent="0.25">
      <c r="A141" s="18"/>
      <c r="B141" s="18"/>
      <c r="C141" s="18"/>
      <c r="D141" s="17" t="str">
        <f>IF($C141="","",IFERROR(INDEX('Casos de Teste'!$C$5:$C$205,MATCH($C141,'Casos de Teste'!$A$5:$A$205,0)),"ID não encontrado"))</f>
        <v/>
      </c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20"/>
      <c r="P141" s="18"/>
      <c r="Q141" s="20"/>
      <c r="R141" s="18"/>
    </row>
    <row r="142" spans="1:18" x14ac:dyDescent="0.25">
      <c r="A142" s="18"/>
      <c r="B142" s="18"/>
      <c r="C142" s="18"/>
      <c r="D142" s="17" t="str">
        <f>IF($C142="","",IFERROR(INDEX('Casos de Teste'!$C$5:$C$205,MATCH($C142,'Casos de Teste'!$A$5:$A$205,0)),"ID não encontrado"))</f>
        <v/>
      </c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20"/>
      <c r="P142" s="18"/>
      <c r="Q142" s="20"/>
      <c r="R142" s="18"/>
    </row>
    <row r="143" spans="1:18" x14ac:dyDescent="0.25">
      <c r="A143" s="18"/>
      <c r="B143" s="18"/>
      <c r="C143" s="18"/>
      <c r="D143" s="17" t="str">
        <f>IF($C143="","",IFERROR(INDEX('Casos de Teste'!$C$5:$C$205,MATCH($C143,'Casos de Teste'!$A$5:$A$205,0)),"ID não encontrado"))</f>
        <v/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20"/>
      <c r="P143" s="18"/>
      <c r="Q143" s="20"/>
      <c r="R143" s="18"/>
    </row>
    <row r="144" spans="1:18" x14ac:dyDescent="0.25">
      <c r="A144" s="18"/>
      <c r="B144" s="18"/>
      <c r="C144" s="18"/>
      <c r="D144" s="17" t="str">
        <f>IF($C144="","",IFERROR(INDEX('Casos de Teste'!$C$5:$C$205,MATCH($C144,'Casos de Teste'!$A$5:$A$205,0)),"ID não encontrado"))</f>
        <v/>
      </c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20"/>
      <c r="P144" s="18"/>
      <c r="Q144" s="20"/>
      <c r="R144" s="18"/>
    </row>
    <row r="145" spans="1:18" x14ac:dyDescent="0.25">
      <c r="A145" s="18"/>
      <c r="B145" s="18"/>
      <c r="C145" s="18"/>
      <c r="D145" s="17" t="str">
        <f>IF($C145="","",IFERROR(INDEX('Casos de Teste'!$C$5:$C$205,MATCH($C145,'Casos de Teste'!$A$5:$A$205,0)),"ID não encontrado"))</f>
        <v/>
      </c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20"/>
      <c r="P145" s="18"/>
      <c r="Q145" s="20"/>
      <c r="R145" s="18"/>
    </row>
    <row r="146" spans="1:18" x14ac:dyDescent="0.25">
      <c r="A146" s="18"/>
      <c r="B146" s="18"/>
      <c r="C146" s="18"/>
      <c r="D146" s="17" t="str">
        <f>IF($C146="","",IFERROR(INDEX('Casos de Teste'!$C$5:$C$205,MATCH($C146,'Casos de Teste'!$A$5:$A$205,0)),"ID não encontrado"))</f>
        <v/>
      </c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20"/>
      <c r="P146" s="18"/>
      <c r="Q146" s="20"/>
      <c r="R146" s="18"/>
    </row>
    <row r="147" spans="1:18" x14ac:dyDescent="0.25">
      <c r="A147" s="18"/>
      <c r="B147" s="18"/>
      <c r="C147" s="18"/>
      <c r="D147" s="17" t="str">
        <f>IF($C147="","",IFERROR(INDEX('Casos de Teste'!$C$5:$C$205,MATCH($C147,'Casos de Teste'!$A$5:$A$205,0)),"ID não encontrado"))</f>
        <v/>
      </c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20"/>
      <c r="P147" s="18"/>
      <c r="Q147" s="20"/>
      <c r="R147" s="18"/>
    </row>
    <row r="148" spans="1:18" x14ac:dyDescent="0.25">
      <c r="A148" s="18"/>
      <c r="B148" s="18"/>
      <c r="C148" s="18"/>
      <c r="D148" s="17" t="str">
        <f>IF($C148="","",IFERROR(INDEX('Casos de Teste'!$C$5:$C$205,MATCH($C148,'Casos de Teste'!$A$5:$A$205,0)),"ID não encontrado"))</f>
        <v/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20"/>
      <c r="P148" s="18"/>
      <c r="Q148" s="20"/>
      <c r="R148" s="18"/>
    </row>
    <row r="149" spans="1:18" x14ac:dyDescent="0.25">
      <c r="A149" s="18"/>
      <c r="B149" s="18"/>
      <c r="C149" s="18"/>
      <c r="D149" s="17" t="str">
        <f>IF($C149="","",IFERROR(INDEX('Casos de Teste'!$C$5:$C$205,MATCH($C149,'Casos de Teste'!$A$5:$A$205,0)),"ID não encontrado"))</f>
        <v/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20"/>
      <c r="P149" s="18"/>
      <c r="Q149" s="20"/>
      <c r="R149" s="18"/>
    </row>
    <row r="150" spans="1:18" x14ac:dyDescent="0.25">
      <c r="A150" s="18"/>
      <c r="B150" s="18"/>
      <c r="C150" s="18"/>
      <c r="D150" s="17" t="str">
        <f>IF($C150="","",IFERROR(INDEX('Casos de Teste'!$C$5:$C$205,MATCH($C150,'Casos de Teste'!$A$5:$A$205,0)),"ID não encontrado"))</f>
        <v/>
      </c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20"/>
      <c r="P150" s="18"/>
      <c r="Q150" s="20"/>
      <c r="R150" s="18"/>
    </row>
    <row r="151" spans="1:18" x14ac:dyDescent="0.25">
      <c r="A151" s="18"/>
      <c r="B151" s="18"/>
      <c r="C151" s="18"/>
      <c r="D151" s="17" t="str">
        <f>IF($C151="","",IFERROR(INDEX('Casos de Teste'!$C$5:$C$205,MATCH($C151,'Casos de Teste'!$A$5:$A$205,0)),"ID não encontrado"))</f>
        <v/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20"/>
      <c r="P151" s="18"/>
      <c r="Q151" s="20"/>
      <c r="R151" s="18"/>
    </row>
    <row r="152" spans="1:18" x14ac:dyDescent="0.25">
      <c r="A152" s="18"/>
      <c r="B152" s="18"/>
      <c r="C152" s="18"/>
      <c r="D152" s="17" t="str">
        <f>IF($C152="","",IFERROR(INDEX('Casos de Teste'!$C$5:$C$205,MATCH($C152,'Casos de Teste'!$A$5:$A$205,0)),"ID não encontrado"))</f>
        <v/>
      </c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20"/>
      <c r="P152" s="18"/>
      <c r="Q152" s="20"/>
      <c r="R152" s="18"/>
    </row>
    <row r="153" spans="1:18" x14ac:dyDescent="0.25">
      <c r="A153" s="18"/>
      <c r="B153" s="18"/>
      <c r="C153" s="18"/>
      <c r="D153" s="17" t="str">
        <f>IF($C153="","",IFERROR(INDEX('Casos de Teste'!$C$5:$C$205,MATCH($C153,'Casos de Teste'!$A$5:$A$205,0)),"ID não encontrado"))</f>
        <v/>
      </c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20"/>
      <c r="P153" s="18"/>
      <c r="Q153" s="20"/>
      <c r="R153" s="18"/>
    </row>
    <row r="154" spans="1:18" x14ac:dyDescent="0.25">
      <c r="A154" s="18"/>
      <c r="B154" s="18"/>
      <c r="C154" s="18"/>
      <c r="D154" s="17" t="str">
        <f>IF($C154="","",IFERROR(INDEX('Casos de Teste'!$C$5:$C$205,MATCH($C154,'Casos de Teste'!$A$5:$A$205,0)),"ID não encontrado"))</f>
        <v/>
      </c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20"/>
      <c r="P154" s="18"/>
      <c r="Q154" s="20"/>
      <c r="R154" s="18"/>
    </row>
    <row r="155" spans="1:18" x14ac:dyDescent="0.25">
      <c r="A155" s="18"/>
      <c r="B155" s="18"/>
      <c r="C155" s="18"/>
      <c r="D155" s="17" t="str">
        <f>IF($C155="","",IFERROR(INDEX('Casos de Teste'!$C$5:$C$205,MATCH($C155,'Casos de Teste'!$A$5:$A$205,0)),"ID não encontrado"))</f>
        <v/>
      </c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20"/>
      <c r="P155" s="18"/>
      <c r="Q155" s="20"/>
      <c r="R155" s="18"/>
    </row>
    <row r="156" spans="1:18" x14ac:dyDescent="0.25">
      <c r="A156" s="18"/>
      <c r="B156" s="18"/>
      <c r="C156" s="18"/>
      <c r="D156" s="17" t="str">
        <f>IF($C156="","",IFERROR(INDEX('Casos de Teste'!$C$5:$C$205,MATCH($C156,'Casos de Teste'!$A$5:$A$205,0)),"ID não encontrado"))</f>
        <v/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20"/>
      <c r="P156" s="18"/>
      <c r="Q156" s="20"/>
      <c r="R156" s="18"/>
    </row>
    <row r="157" spans="1:18" x14ac:dyDescent="0.25">
      <c r="A157" s="18"/>
      <c r="B157" s="18"/>
      <c r="C157" s="18"/>
      <c r="D157" s="17" t="str">
        <f>IF($C157="","",IFERROR(INDEX('Casos de Teste'!$C$5:$C$205,MATCH($C157,'Casos de Teste'!$A$5:$A$205,0)),"ID não encontrado"))</f>
        <v/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20"/>
      <c r="P157" s="18"/>
      <c r="Q157" s="20"/>
      <c r="R157" s="18"/>
    </row>
    <row r="158" spans="1:18" x14ac:dyDescent="0.25">
      <c r="A158" s="18"/>
      <c r="B158" s="18"/>
      <c r="C158" s="18"/>
      <c r="D158" s="17" t="str">
        <f>IF($C158="","",IFERROR(INDEX('Casos de Teste'!$C$5:$C$205,MATCH($C158,'Casos de Teste'!$A$5:$A$205,0)),"ID não encontrado"))</f>
        <v/>
      </c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20"/>
      <c r="P158" s="18"/>
      <c r="Q158" s="20"/>
      <c r="R158" s="18"/>
    </row>
    <row r="159" spans="1:18" x14ac:dyDescent="0.25">
      <c r="A159" s="18"/>
      <c r="B159" s="18"/>
      <c r="C159" s="18"/>
      <c r="D159" s="17" t="str">
        <f>IF($C159="","",IFERROR(INDEX('Casos de Teste'!$C$5:$C$205,MATCH($C159,'Casos de Teste'!$A$5:$A$205,0)),"ID não encontrado"))</f>
        <v/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20"/>
      <c r="P159" s="18"/>
      <c r="Q159" s="20"/>
      <c r="R159" s="18"/>
    </row>
    <row r="160" spans="1:18" x14ac:dyDescent="0.25">
      <c r="A160" s="18"/>
      <c r="B160" s="18"/>
      <c r="C160" s="18"/>
      <c r="D160" s="17" t="str">
        <f>IF($C160="","",IFERROR(INDEX('Casos de Teste'!$C$5:$C$205,MATCH($C160,'Casos de Teste'!$A$5:$A$205,0)),"ID não encontrado"))</f>
        <v/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20"/>
      <c r="P160" s="18"/>
      <c r="Q160" s="20"/>
      <c r="R160" s="18"/>
    </row>
    <row r="161" spans="1:18" x14ac:dyDescent="0.25">
      <c r="A161" s="18"/>
      <c r="B161" s="18"/>
      <c r="C161" s="18"/>
      <c r="D161" s="17" t="str">
        <f>IF($C161="","",IFERROR(INDEX('Casos de Teste'!$C$5:$C$205,MATCH($C161,'Casos de Teste'!$A$5:$A$205,0)),"ID não encontrado"))</f>
        <v/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20"/>
      <c r="P161" s="18"/>
      <c r="Q161" s="20"/>
      <c r="R161" s="18"/>
    </row>
    <row r="162" spans="1:18" x14ac:dyDescent="0.25">
      <c r="A162" s="18"/>
      <c r="B162" s="18"/>
      <c r="C162" s="18"/>
      <c r="D162" s="17" t="str">
        <f>IF($C162="","",IFERROR(INDEX('Casos de Teste'!$C$5:$C$205,MATCH($C162,'Casos de Teste'!$A$5:$A$205,0)),"ID não encontrado"))</f>
        <v/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20"/>
      <c r="P162" s="18"/>
      <c r="Q162" s="20"/>
      <c r="R162" s="18"/>
    </row>
    <row r="163" spans="1:18" x14ac:dyDescent="0.25">
      <c r="A163" s="18"/>
      <c r="B163" s="18"/>
      <c r="C163" s="18"/>
      <c r="D163" s="17" t="str">
        <f>IF($C163="","",IFERROR(INDEX('Casos de Teste'!$C$5:$C$205,MATCH($C163,'Casos de Teste'!$A$5:$A$205,0)),"ID não encontrado"))</f>
        <v/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20"/>
      <c r="P163" s="18"/>
      <c r="Q163" s="20"/>
      <c r="R163" s="18"/>
    </row>
    <row r="164" spans="1:18" x14ac:dyDescent="0.25">
      <c r="A164" s="18"/>
      <c r="B164" s="18"/>
      <c r="C164" s="18"/>
      <c r="D164" s="17" t="str">
        <f>IF($C164="","",IFERROR(INDEX('Casos de Teste'!$C$5:$C$205,MATCH($C164,'Casos de Teste'!$A$5:$A$205,0)),"ID não encontrado"))</f>
        <v/>
      </c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20"/>
      <c r="P164" s="18"/>
      <c r="Q164" s="20"/>
      <c r="R164" s="18"/>
    </row>
    <row r="165" spans="1:18" x14ac:dyDescent="0.25">
      <c r="A165" s="18"/>
      <c r="B165" s="18"/>
      <c r="C165" s="18"/>
      <c r="D165" s="17" t="str">
        <f>IF($C165="","",IFERROR(INDEX('Casos de Teste'!$C$5:$C$205,MATCH($C165,'Casos de Teste'!$A$5:$A$205,0)),"ID não encontrado"))</f>
        <v/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20"/>
      <c r="P165" s="18"/>
      <c r="Q165" s="20"/>
      <c r="R165" s="18"/>
    </row>
    <row r="166" spans="1:18" x14ac:dyDescent="0.25">
      <c r="A166" s="18"/>
      <c r="B166" s="18"/>
      <c r="C166" s="18"/>
      <c r="D166" s="17" t="str">
        <f>IF($C166="","",IFERROR(INDEX('Casos de Teste'!$C$5:$C$205,MATCH($C166,'Casos de Teste'!$A$5:$A$205,0)),"ID não encontrado"))</f>
        <v/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20"/>
      <c r="P166" s="18"/>
      <c r="Q166" s="20"/>
      <c r="R166" s="18"/>
    </row>
    <row r="167" spans="1:18" x14ac:dyDescent="0.25">
      <c r="A167" s="18"/>
      <c r="B167" s="18"/>
      <c r="C167" s="18"/>
      <c r="D167" s="17" t="str">
        <f>IF($C167="","",IFERROR(INDEX('Casos de Teste'!$C$5:$C$205,MATCH($C167,'Casos de Teste'!$A$5:$A$205,0)),"ID não encontrado"))</f>
        <v/>
      </c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20"/>
      <c r="P167" s="18"/>
      <c r="Q167" s="20"/>
      <c r="R167" s="18"/>
    </row>
    <row r="168" spans="1:18" x14ac:dyDescent="0.25">
      <c r="A168" s="18"/>
      <c r="B168" s="18"/>
      <c r="C168" s="18"/>
      <c r="D168" s="17" t="str">
        <f>IF($C168="","",IFERROR(INDEX('Casos de Teste'!$C$5:$C$205,MATCH($C168,'Casos de Teste'!$A$5:$A$205,0)),"ID não encontrado"))</f>
        <v/>
      </c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20"/>
      <c r="P168" s="18"/>
      <c r="Q168" s="20"/>
      <c r="R168" s="18"/>
    </row>
    <row r="169" spans="1:18" x14ac:dyDescent="0.25">
      <c r="A169" s="18"/>
      <c r="B169" s="18"/>
      <c r="C169" s="18"/>
      <c r="D169" s="17" t="str">
        <f>IF($C169="","",IFERROR(INDEX('Casos de Teste'!$C$5:$C$205,MATCH($C169,'Casos de Teste'!$A$5:$A$205,0)),"ID não encontrado"))</f>
        <v/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20"/>
      <c r="P169" s="18"/>
      <c r="Q169" s="20"/>
      <c r="R169" s="18"/>
    </row>
    <row r="170" spans="1:18" x14ac:dyDescent="0.25">
      <c r="A170" s="18"/>
      <c r="B170" s="18"/>
      <c r="C170" s="18"/>
      <c r="D170" s="17" t="str">
        <f>IF($C170="","",IFERROR(INDEX('Casos de Teste'!$C$5:$C$205,MATCH($C170,'Casos de Teste'!$A$5:$A$205,0)),"ID não encontrado"))</f>
        <v/>
      </c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20"/>
      <c r="P170" s="18"/>
      <c r="Q170" s="20"/>
      <c r="R170" s="18"/>
    </row>
    <row r="171" spans="1:18" x14ac:dyDescent="0.25">
      <c r="A171" s="18"/>
      <c r="B171" s="18"/>
      <c r="C171" s="18"/>
      <c r="D171" s="17" t="str">
        <f>IF($C171="","",IFERROR(INDEX('Casos de Teste'!$C$5:$C$205,MATCH($C171,'Casos de Teste'!$A$5:$A$205,0)),"ID não encontrado"))</f>
        <v/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20"/>
      <c r="P171" s="18"/>
      <c r="Q171" s="20"/>
      <c r="R171" s="18"/>
    </row>
    <row r="172" spans="1:18" x14ac:dyDescent="0.25">
      <c r="A172" s="18"/>
      <c r="B172" s="18"/>
      <c r="C172" s="18"/>
      <c r="D172" s="17" t="str">
        <f>IF($C172="","",IFERROR(INDEX('Casos de Teste'!$C$5:$C$205,MATCH($C172,'Casos de Teste'!$A$5:$A$205,0)),"ID não encontrado"))</f>
        <v/>
      </c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20"/>
      <c r="P172" s="18"/>
      <c r="Q172" s="20"/>
      <c r="R172" s="18"/>
    </row>
    <row r="173" spans="1:18" x14ac:dyDescent="0.25">
      <c r="A173" s="18"/>
      <c r="B173" s="18"/>
      <c r="C173" s="18"/>
      <c r="D173" s="17" t="str">
        <f>IF($C173="","",IFERROR(INDEX('Casos de Teste'!$C$5:$C$205,MATCH($C173,'Casos de Teste'!$A$5:$A$205,0)),"ID não encontrado"))</f>
        <v/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20"/>
      <c r="P173" s="18"/>
      <c r="Q173" s="20"/>
      <c r="R173" s="18"/>
    </row>
    <row r="174" spans="1:18" x14ac:dyDescent="0.25">
      <c r="A174" s="18"/>
      <c r="B174" s="18"/>
      <c r="C174" s="18"/>
      <c r="D174" s="17" t="str">
        <f>IF($C174="","",IFERROR(INDEX('Casos de Teste'!$C$5:$C$205,MATCH($C174,'Casos de Teste'!$A$5:$A$205,0)),"ID não encontrado"))</f>
        <v/>
      </c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20"/>
      <c r="P174" s="18"/>
      <c r="Q174" s="20"/>
      <c r="R174" s="18"/>
    </row>
    <row r="175" spans="1:18" x14ac:dyDescent="0.25">
      <c r="A175" s="18"/>
      <c r="B175" s="18"/>
      <c r="C175" s="18"/>
      <c r="D175" s="17" t="str">
        <f>IF($C175="","",IFERROR(INDEX('Casos de Teste'!$C$5:$C$205,MATCH($C175,'Casos de Teste'!$A$5:$A$205,0)),"ID não encontrado"))</f>
        <v/>
      </c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20"/>
      <c r="P175" s="18"/>
      <c r="Q175" s="20"/>
      <c r="R175" s="18"/>
    </row>
    <row r="176" spans="1:18" x14ac:dyDescent="0.25">
      <c r="A176" s="18"/>
      <c r="B176" s="18"/>
      <c r="C176" s="18"/>
      <c r="D176" s="17" t="str">
        <f>IF($C176="","",IFERROR(INDEX('Casos de Teste'!$C$5:$C$205,MATCH($C176,'Casos de Teste'!$A$5:$A$205,0)),"ID não encontrado"))</f>
        <v/>
      </c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20"/>
      <c r="P176" s="18"/>
      <c r="Q176" s="20"/>
      <c r="R176" s="18"/>
    </row>
    <row r="177" spans="1:18" x14ac:dyDescent="0.25">
      <c r="A177" s="18"/>
      <c r="B177" s="18"/>
      <c r="C177" s="18"/>
      <c r="D177" s="17" t="str">
        <f>IF($C177="","",IFERROR(INDEX('Casos de Teste'!$C$5:$C$205,MATCH($C177,'Casos de Teste'!$A$5:$A$205,0)),"ID não encontrado"))</f>
        <v/>
      </c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20"/>
      <c r="P177" s="18"/>
      <c r="Q177" s="20"/>
      <c r="R177" s="18"/>
    </row>
    <row r="178" spans="1:18" x14ac:dyDescent="0.25">
      <c r="A178" s="18"/>
      <c r="B178" s="18"/>
      <c r="C178" s="18"/>
      <c r="D178" s="17" t="str">
        <f>IF($C178="","",IFERROR(INDEX('Casos de Teste'!$C$5:$C$205,MATCH($C178,'Casos de Teste'!$A$5:$A$205,0)),"ID não encontrado"))</f>
        <v/>
      </c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20"/>
      <c r="P178" s="18"/>
      <c r="Q178" s="20"/>
      <c r="R178" s="18"/>
    </row>
    <row r="179" spans="1:18" x14ac:dyDescent="0.25">
      <c r="A179" s="18"/>
      <c r="B179" s="18"/>
      <c r="C179" s="18"/>
      <c r="D179" s="17" t="str">
        <f>IF($C179="","",IFERROR(INDEX('Casos de Teste'!$C$5:$C$205,MATCH($C179,'Casos de Teste'!$A$5:$A$205,0)),"ID não encontrado"))</f>
        <v/>
      </c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20"/>
      <c r="P179" s="18"/>
      <c r="Q179" s="20"/>
      <c r="R179" s="18"/>
    </row>
    <row r="180" spans="1:18" x14ac:dyDescent="0.25">
      <c r="A180" s="18"/>
      <c r="B180" s="18"/>
      <c r="C180" s="18"/>
      <c r="D180" s="17" t="str">
        <f>IF($C180="","",IFERROR(INDEX('Casos de Teste'!$C$5:$C$205,MATCH($C180,'Casos de Teste'!$A$5:$A$205,0)),"ID não encontrado"))</f>
        <v/>
      </c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20"/>
      <c r="P180" s="18"/>
      <c r="Q180" s="20"/>
      <c r="R180" s="18"/>
    </row>
    <row r="181" spans="1:18" x14ac:dyDescent="0.25">
      <c r="A181" s="18"/>
      <c r="B181" s="18"/>
      <c r="C181" s="18"/>
      <c r="D181" s="17" t="str">
        <f>IF($C181="","",IFERROR(INDEX('Casos de Teste'!$C$5:$C$205,MATCH($C181,'Casos de Teste'!$A$5:$A$205,0)),"ID não encontrado"))</f>
        <v/>
      </c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20"/>
      <c r="P181" s="18"/>
      <c r="Q181" s="20"/>
      <c r="R181" s="18"/>
    </row>
    <row r="182" spans="1:18" x14ac:dyDescent="0.25">
      <c r="A182" s="18"/>
      <c r="B182" s="18"/>
      <c r="C182" s="18"/>
      <c r="D182" s="17" t="str">
        <f>IF($C182="","",IFERROR(INDEX('Casos de Teste'!$C$5:$C$205,MATCH($C182,'Casos de Teste'!$A$5:$A$205,0)),"ID não encontrado"))</f>
        <v/>
      </c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20"/>
      <c r="P182" s="18"/>
      <c r="Q182" s="20"/>
      <c r="R182" s="18"/>
    </row>
    <row r="183" spans="1:18" x14ac:dyDescent="0.25">
      <c r="A183" s="18"/>
      <c r="B183" s="18"/>
      <c r="C183" s="18"/>
      <c r="D183" s="17" t="str">
        <f>IF($C183="","",IFERROR(INDEX('Casos de Teste'!$C$5:$C$205,MATCH($C183,'Casos de Teste'!$A$5:$A$205,0)),"ID não encontrado"))</f>
        <v/>
      </c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20"/>
      <c r="P183" s="18"/>
      <c r="Q183" s="20"/>
      <c r="R183" s="18"/>
    </row>
    <row r="184" spans="1:18" x14ac:dyDescent="0.25">
      <c r="A184" s="18"/>
      <c r="B184" s="18"/>
      <c r="C184" s="18"/>
      <c r="D184" s="17" t="str">
        <f>IF($C184="","",IFERROR(INDEX('Casos de Teste'!$C$5:$C$205,MATCH($C184,'Casos de Teste'!$A$5:$A$205,0)),"ID não encontrado"))</f>
        <v/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20"/>
      <c r="P184" s="18"/>
      <c r="Q184" s="20"/>
      <c r="R184" s="18"/>
    </row>
    <row r="185" spans="1:18" x14ac:dyDescent="0.25">
      <c r="A185" s="18"/>
      <c r="B185" s="18"/>
      <c r="C185" s="18"/>
      <c r="D185" s="17" t="str">
        <f>IF($C185="","",IFERROR(INDEX('Casos de Teste'!$C$5:$C$205,MATCH($C185,'Casos de Teste'!$A$5:$A$205,0)),"ID não encontrado"))</f>
        <v/>
      </c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20"/>
      <c r="P185" s="18"/>
      <c r="Q185" s="20"/>
      <c r="R185" s="18"/>
    </row>
    <row r="186" spans="1:18" x14ac:dyDescent="0.25">
      <c r="A186" s="18"/>
      <c r="B186" s="18"/>
      <c r="C186" s="18"/>
      <c r="D186" s="17" t="str">
        <f>IF($C186="","",IFERROR(INDEX('Casos de Teste'!$C$5:$C$205,MATCH($C186,'Casos de Teste'!$A$5:$A$205,0)),"ID não encontrado"))</f>
        <v/>
      </c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20"/>
      <c r="P186" s="18"/>
      <c r="Q186" s="20"/>
      <c r="R186" s="18"/>
    </row>
    <row r="187" spans="1:18" x14ac:dyDescent="0.25">
      <c r="A187" s="18"/>
      <c r="B187" s="18"/>
      <c r="C187" s="18"/>
      <c r="D187" s="17" t="str">
        <f>IF($C187="","",IFERROR(INDEX('Casos de Teste'!$C$5:$C$205,MATCH($C187,'Casos de Teste'!$A$5:$A$205,0)),"ID não encontrado"))</f>
        <v/>
      </c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20"/>
      <c r="P187" s="18"/>
      <c r="Q187" s="20"/>
      <c r="R187" s="18"/>
    </row>
    <row r="188" spans="1:18" x14ac:dyDescent="0.25">
      <c r="A188" s="18"/>
      <c r="B188" s="18"/>
      <c r="C188" s="18"/>
      <c r="D188" s="17" t="str">
        <f>IF($C188="","",IFERROR(INDEX('Casos de Teste'!$C$5:$C$205,MATCH($C188,'Casos de Teste'!$A$5:$A$205,0)),"ID não encontrado"))</f>
        <v/>
      </c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20"/>
      <c r="P188" s="18"/>
      <c r="Q188" s="20"/>
      <c r="R188" s="18"/>
    </row>
    <row r="189" spans="1:18" x14ac:dyDescent="0.25">
      <c r="A189" s="18"/>
      <c r="B189" s="18"/>
      <c r="C189" s="18"/>
      <c r="D189" s="17" t="str">
        <f>IF($C189="","",IFERROR(INDEX('Casos de Teste'!$C$5:$C$205,MATCH($C189,'Casos de Teste'!$A$5:$A$205,0)),"ID não encontrado"))</f>
        <v/>
      </c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20"/>
      <c r="P189" s="18"/>
      <c r="Q189" s="20"/>
      <c r="R189" s="18"/>
    </row>
    <row r="190" spans="1:18" x14ac:dyDescent="0.25">
      <c r="A190" s="18"/>
      <c r="B190" s="18"/>
      <c r="C190" s="18"/>
      <c r="D190" s="17" t="str">
        <f>IF($C190="","",IFERROR(INDEX('Casos de Teste'!$C$5:$C$205,MATCH($C190,'Casos de Teste'!$A$5:$A$205,0)),"ID não encontrado"))</f>
        <v/>
      </c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20"/>
      <c r="P190" s="18"/>
      <c r="Q190" s="20"/>
      <c r="R190" s="18"/>
    </row>
    <row r="191" spans="1:18" x14ac:dyDescent="0.25">
      <c r="A191" s="18"/>
      <c r="B191" s="18"/>
      <c r="C191" s="18"/>
      <c r="D191" s="17" t="str">
        <f>IF($C191="","",IFERROR(INDEX('Casos de Teste'!$C$5:$C$205,MATCH($C191,'Casos de Teste'!$A$5:$A$205,0)),"ID não encontrado"))</f>
        <v/>
      </c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20"/>
      <c r="P191" s="18"/>
      <c r="Q191" s="20"/>
      <c r="R191" s="18"/>
    </row>
    <row r="192" spans="1:18" x14ac:dyDescent="0.25">
      <c r="A192" s="18"/>
      <c r="B192" s="18"/>
      <c r="C192" s="18"/>
      <c r="D192" s="17" t="str">
        <f>IF($C192="","",IFERROR(INDEX('Casos de Teste'!$C$5:$C$205,MATCH($C192,'Casos de Teste'!$A$5:$A$205,0)),"ID não encontrado"))</f>
        <v/>
      </c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20"/>
      <c r="P192" s="18"/>
      <c r="Q192" s="20"/>
      <c r="R192" s="18"/>
    </row>
    <row r="193" spans="1:18" x14ac:dyDescent="0.25">
      <c r="A193" s="18"/>
      <c r="B193" s="18"/>
      <c r="C193" s="18"/>
      <c r="D193" s="17" t="str">
        <f>IF($C193="","",IFERROR(INDEX('Casos de Teste'!$C$5:$C$205,MATCH($C193,'Casos de Teste'!$A$5:$A$205,0)),"ID não encontrado"))</f>
        <v/>
      </c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20"/>
      <c r="P193" s="18"/>
      <c r="Q193" s="20"/>
      <c r="R193" s="18"/>
    </row>
    <row r="194" spans="1:18" x14ac:dyDescent="0.25">
      <c r="A194" s="18"/>
      <c r="B194" s="18"/>
      <c r="C194" s="18"/>
      <c r="D194" s="17" t="str">
        <f>IF($C194="","",IFERROR(INDEX('Casos de Teste'!$C$5:$C$205,MATCH($C194,'Casos de Teste'!$A$5:$A$205,0)),"ID não encontrado"))</f>
        <v/>
      </c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20"/>
      <c r="P194" s="18"/>
      <c r="Q194" s="20"/>
      <c r="R194" s="18"/>
    </row>
    <row r="195" spans="1:18" x14ac:dyDescent="0.25">
      <c r="A195" s="18"/>
      <c r="B195" s="18"/>
      <c r="C195" s="18"/>
      <c r="D195" s="17" t="str">
        <f>IF($C195="","",IFERROR(INDEX('Casos de Teste'!$C$5:$C$205,MATCH($C195,'Casos de Teste'!$A$5:$A$205,0)),"ID não encontrado"))</f>
        <v/>
      </c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20"/>
      <c r="P195" s="18"/>
      <c r="Q195" s="20"/>
      <c r="R195" s="18"/>
    </row>
    <row r="196" spans="1:18" x14ac:dyDescent="0.25">
      <c r="A196" s="18"/>
      <c r="B196" s="18"/>
      <c r="C196" s="18"/>
      <c r="D196" s="17" t="str">
        <f>IF($C196="","",IFERROR(INDEX('Casos de Teste'!$C$5:$C$205,MATCH($C196,'Casos de Teste'!$A$5:$A$205,0)),"ID não encontrado"))</f>
        <v/>
      </c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20"/>
      <c r="P196" s="18"/>
      <c r="Q196" s="20"/>
      <c r="R196" s="18"/>
    </row>
    <row r="197" spans="1:18" x14ac:dyDescent="0.25">
      <c r="A197" s="18"/>
      <c r="B197" s="18"/>
      <c r="C197" s="18"/>
      <c r="D197" s="17" t="str">
        <f>IF($C197="","",IFERROR(INDEX('Casos de Teste'!$C$5:$C$205,MATCH($C197,'Casos de Teste'!$A$5:$A$205,0)),"ID não encontrado"))</f>
        <v/>
      </c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20"/>
      <c r="P197" s="18"/>
      <c r="Q197" s="20"/>
      <c r="R197" s="18"/>
    </row>
    <row r="198" spans="1:18" x14ac:dyDescent="0.25">
      <c r="A198" s="18"/>
      <c r="B198" s="18"/>
      <c r="C198" s="18"/>
      <c r="D198" s="17" t="str">
        <f>IF($C198="","",IFERROR(INDEX('Casos de Teste'!$C$5:$C$205,MATCH($C198,'Casos de Teste'!$A$5:$A$205,0)),"ID não encontrado"))</f>
        <v/>
      </c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20"/>
      <c r="P198" s="18"/>
      <c r="Q198" s="20"/>
      <c r="R198" s="18"/>
    </row>
    <row r="199" spans="1:18" x14ac:dyDescent="0.25">
      <c r="A199" s="18"/>
      <c r="B199" s="18"/>
      <c r="C199" s="18"/>
      <c r="D199" s="17" t="str">
        <f>IF($C199="","",IFERROR(INDEX('Casos de Teste'!$C$5:$C$205,MATCH($C199,'Casos de Teste'!$A$5:$A$205,0)),"ID não encontrado"))</f>
        <v/>
      </c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20"/>
      <c r="P199" s="18"/>
      <c r="Q199" s="20"/>
      <c r="R199" s="18"/>
    </row>
    <row r="200" spans="1:18" x14ac:dyDescent="0.25">
      <c r="A200" s="18"/>
      <c r="B200" s="18"/>
      <c r="C200" s="18"/>
      <c r="D200" s="17" t="str">
        <f>IF($C200="","",IFERROR(INDEX('Casos de Teste'!$C$5:$C$205,MATCH($C200,'Casos de Teste'!$A$5:$A$205,0)),"ID não encontrado"))</f>
        <v/>
      </c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20"/>
      <c r="P200" s="18"/>
      <c r="Q200" s="20"/>
      <c r="R200" s="18"/>
    </row>
    <row r="201" spans="1:18" x14ac:dyDescent="0.25">
      <c r="A201" s="18"/>
      <c r="B201" s="18"/>
      <c r="C201" s="18"/>
      <c r="D201" s="17" t="str">
        <f>IF($C201="","",IFERROR(INDEX('Casos de Teste'!$C$5:$C$205,MATCH($C201,'Casos de Teste'!$A$5:$A$205,0)),"ID não encontrado"))</f>
        <v/>
      </c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20"/>
      <c r="P201" s="18"/>
      <c r="Q201" s="20"/>
      <c r="R201" s="18"/>
    </row>
    <row r="202" spans="1:18" x14ac:dyDescent="0.25">
      <c r="A202" s="18"/>
      <c r="B202" s="18"/>
      <c r="C202" s="18"/>
      <c r="D202" s="17" t="str">
        <f>IF($C202="","",IFERROR(INDEX('Casos de Teste'!$C$5:$C$205,MATCH($C202,'Casos de Teste'!$A$5:$A$205,0)),"ID não encontrado"))</f>
        <v/>
      </c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20"/>
      <c r="P202" s="18"/>
      <c r="Q202" s="20"/>
      <c r="R202" s="18"/>
    </row>
  </sheetData>
  <autoFilter ref="A4:R202" xr:uid="{00000000-0009-0000-0000-000005000000}"/>
  <conditionalFormatting sqref="E5:E202">
    <cfRule type="cellIs" dxfId="12" priority="2" operator="equal">
      <formula>"Crítica"</formula>
    </cfRule>
    <cfRule type="cellIs" dxfId="11" priority="3" operator="equal">
      <formula>"Alta"</formula>
    </cfRule>
    <cfRule type="cellIs" dxfId="10" priority="4" operator="equal">
      <formula>"Média"</formula>
    </cfRule>
    <cfRule type="cellIs" dxfId="9" priority="5" operator="equal">
      <formula>"Baixa"</formula>
    </cfRule>
  </conditionalFormatting>
  <conditionalFormatting sqref="G5:G202">
    <cfRule type="cellIs" dxfId="8" priority="6" operator="equal">
      <formula>"Aprovado"</formula>
    </cfRule>
    <cfRule type="cellIs" dxfId="7" priority="7" operator="equal">
      <formula>"Reprovado"</formula>
    </cfRule>
    <cfRule type="cellIs" dxfId="6" priority="8" operator="equal">
      <formula>"Bloqueado"</formula>
    </cfRule>
    <cfRule type="cellIs" dxfId="5" priority="9" operator="equal">
      <formula>"Fechado"</formula>
    </cfRule>
    <cfRule type="cellIs" dxfId="4" priority="10" operator="equal">
      <formula>"Corrigido"</formula>
    </cfRule>
    <cfRule type="cellIs" dxfId="3" priority="11" operator="equal">
      <formula>"Aberto"</formula>
    </cfRule>
    <cfRule type="cellIs" dxfId="2" priority="12" operator="equal">
      <formula>"Em andamento"</formula>
    </cfRule>
    <cfRule type="cellIs" dxfId="1" priority="13" operator="equal">
      <formula>"Em correção"</formula>
    </cfRule>
    <cfRule type="cellIs" dxfId="0" priority="14" operator="equal">
      <formula>"Reaberto"</formula>
    </cfRule>
  </conditionalFormatting>
  <dataValidations count="3">
    <dataValidation type="list" allowBlank="1" sqref="E5:E202" xr:uid="{00000000-0002-0000-0500-000001000000}">
      <formula1>"Crítica,Alta,Média,Baixa"</formula1>
      <formula2>0</formula2>
    </dataValidation>
    <dataValidation type="list" allowBlank="1" sqref="F5:F202" xr:uid="{00000000-0002-0000-0500-000002000000}">
      <formula1>"Alta,Média,Baixa"</formula1>
      <formula2>0</formula2>
    </dataValidation>
    <dataValidation type="list" allowBlank="1" sqref="G5:G202" xr:uid="{00000000-0002-0000-0500-000003000000}">
      <formula1>"Aberto,Em correção,Corrigido,Reaberto,Fechado"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'Casos de Teste'!$A$5:$A$205</xm:f>
          </x14:formula1>
          <x14:formula2>
            <xm:f>0</xm:f>
          </x14:formula2>
          <xm:sqref>C5:C202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Legenda</vt:lpstr>
      <vt:lpstr>Resumo</vt:lpstr>
      <vt:lpstr>Cenarios</vt:lpstr>
      <vt:lpstr>Casos de Teste</vt:lpstr>
      <vt:lpstr>Evidencias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2026-10-08T19:40:48Z</dcterms:created>
  <dcterms:modified xsi:type="dcterms:W3CDTF">2026-10-10T23:34:04Z</dcterms:modified>
  <dc:language>en-US</dc:language>
</cp:coreProperties>
</file>